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aa6311c87813b9/Documents/"/>
    </mc:Choice>
  </mc:AlternateContent>
  <xr:revisionPtr revIDLastSave="0" documentId="14_{8945C793-6BDE-4F1B-925D-82E3B23AF2DE}" xr6:coauthVersionLast="47" xr6:coauthVersionMax="47" xr10:uidLastSave="{00000000-0000-0000-0000-000000000000}"/>
  <bookViews>
    <workbookView xWindow="-108" yWindow="-108" windowWidth="23256" windowHeight="12456" xr2:uid="{C4A6D622-96AD-40F9-9FAD-79FABD097C47}"/>
  </bookViews>
  <sheets>
    <sheet name="Sheet1" sheetId="2" r:id="rId1"/>
    <sheet name="Sheet2" sheetId="3" r:id="rId2"/>
    <sheet name="ecommerce_sales" sheetId="1" r:id="rId3"/>
    <sheet name=" 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1" l="1"/>
  <c r="R16" i="1"/>
  <c r="Q16" i="1"/>
  <c r="P16" i="1"/>
  <c r="O16" i="1"/>
</calcChain>
</file>

<file path=xl/sharedStrings.xml><?xml version="1.0" encoding="utf-8"?>
<sst xmlns="http://schemas.openxmlformats.org/spreadsheetml/2006/main" count="3116" uniqueCount="663">
  <si>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</si>
  <si>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</si>
  <si>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</si>
  <si>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</si>
  <si>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</si>
  <si>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</si>
  <si>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</si>
  <si>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</si>
  <si>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</t>
  </si>
  <si>
    <t>Cost</t>
  </si>
  <si>
    <t>Sales</t>
  </si>
  <si>
    <t>Profit</t>
  </si>
  <si>
    <t>Payment_Mode</t>
  </si>
  <si>
    <t>ORD0001</t>
  </si>
  <si>
    <t>CUST1087</t>
  </si>
  <si>
    <t>Smartphone</t>
  </si>
  <si>
    <t>Electronics</t>
  </si>
  <si>
    <t>North</t>
  </si>
  <si>
    <t>Cash on Delivery</t>
  </si>
  <si>
    <t>ORD0002</t>
  </si>
  <si>
    <t>CUST1072</t>
  </si>
  <si>
    <t>Laptop</t>
  </si>
  <si>
    <t>South</t>
  </si>
  <si>
    <t>ORD0003</t>
  </si>
  <si>
    <t>CUST1090</t>
  </si>
  <si>
    <t>Keyboard</t>
  </si>
  <si>
    <t>Accessories</t>
  </si>
  <si>
    <t>West</t>
  </si>
  <si>
    <t>Debit Card</t>
  </si>
  <si>
    <t>ORD0004</t>
  </si>
  <si>
    <t>CUST1049</t>
  </si>
  <si>
    <t>Mouse</t>
  </si>
  <si>
    <t>ORD0005</t>
  </si>
  <si>
    <t>CUST1016</t>
  </si>
  <si>
    <t>Office Chair</t>
  </si>
  <si>
    <t>Furniture</t>
  </si>
  <si>
    <t>UPI</t>
  </si>
  <si>
    <t>ORD0006</t>
  </si>
  <si>
    <t>CUST1091</t>
  </si>
  <si>
    <t>Shoes</t>
  </si>
  <si>
    <t>Fashion</t>
  </si>
  <si>
    <t>ORD0007</t>
  </si>
  <si>
    <t>CUST1036</t>
  </si>
  <si>
    <t>ORD0008</t>
  </si>
  <si>
    <t>CUST1083</t>
  </si>
  <si>
    <t>Headphones</t>
  </si>
  <si>
    <t>Credit Card</t>
  </si>
  <si>
    <t>ORD0009</t>
  </si>
  <si>
    <t>CUST1089</t>
  </si>
  <si>
    <t>ORD0010</t>
  </si>
  <si>
    <t>CUST1028</t>
  </si>
  <si>
    <t>East</t>
  </si>
  <si>
    <t>ORD0011</t>
  </si>
  <si>
    <t>CUST1069</t>
  </si>
  <si>
    <t>Backpack</t>
  </si>
  <si>
    <t>Bags</t>
  </si>
  <si>
    <t>ORD0012</t>
  </si>
  <si>
    <t>CUST1064</t>
  </si>
  <si>
    <t>Watch</t>
  </si>
  <si>
    <t>ORD0013</t>
  </si>
  <si>
    <t>CUST1050</t>
  </si>
  <si>
    <t>ORD0014</t>
  </si>
  <si>
    <t>CUST1088</t>
  </si>
  <si>
    <t>ORD0015</t>
  </si>
  <si>
    <t>CUST1065</t>
  </si>
  <si>
    <t>ORD0016</t>
  </si>
  <si>
    <t>CUST1070</t>
  </si>
  <si>
    <t>ORD0017</t>
  </si>
  <si>
    <t>CUST1031</t>
  </si>
  <si>
    <t>ORD0018</t>
  </si>
  <si>
    <t>CUST1099</t>
  </si>
  <si>
    <t>ORD0019</t>
  </si>
  <si>
    <t>ORD0020</t>
  </si>
  <si>
    <t>CUST1029</t>
  </si>
  <si>
    <t>Desk</t>
  </si>
  <si>
    <t>ORD0021</t>
  </si>
  <si>
    <t>ORD0022</t>
  </si>
  <si>
    <t>CUST1063</t>
  </si>
  <si>
    <t>ORD0023</t>
  </si>
  <si>
    <t>CUST1025</t>
  </si>
  <si>
    <t>ORD0024</t>
  </si>
  <si>
    <t>ORD0025</t>
  </si>
  <si>
    <t>CUST1018</t>
  </si>
  <si>
    <t>ORD0026</t>
  </si>
  <si>
    <t>CUST1013</t>
  </si>
  <si>
    <t>ORD0027</t>
  </si>
  <si>
    <t>CUST1008</t>
  </si>
  <si>
    <t>ORD0028</t>
  </si>
  <si>
    <t>CUST1055</t>
  </si>
  <si>
    <t>ORD0029</t>
  </si>
  <si>
    <t>ORD0030</t>
  </si>
  <si>
    <t>ORD0031</t>
  </si>
  <si>
    <t>CUST1073</t>
  </si>
  <si>
    <t>ORD0032</t>
  </si>
  <si>
    <t>CUST1034</t>
  </si>
  <si>
    <t>ORD0033</t>
  </si>
  <si>
    <t>CUST1041</t>
  </si>
  <si>
    <t>ORD0034</t>
  </si>
  <si>
    <t>ORD0035</t>
  </si>
  <si>
    <t>ORD0036</t>
  </si>
  <si>
    <t>CUST1014</t>
  </si>
  <si>
    <t>ORD0037</t>
  </si>
  <si>
    <t>ORD0038</t>
  </si>
  <si>
    <t>ORD0039</t>
  </si>
  <si>
    <t>CUST1010</t>
  </si>
  <si>
    <t>ORD0040</t>
  </si>
  <si>
    <t>CUST1047</t>
  </si>
  <si>
    <t>ORD0041</t>
  </si>
  <si>
    <t>CUST1080</t>
  </si>
  <si>
    <t>ORD0042</t>
  </si>
  <si>
    <t>CUST1053</t>
  </si>
  <si>
    <t>ORD0043</t>
  </si>
  <si>
    <t>CUST1026</t>
  </si>
  <si>
    <t>ORD0044</t>
  </si>
  <si>
    <t>ORD0045</t>
  </si>
  <si>
    <t>CUST1004</t>
  </si>
  <si>
    <t>ORD0046</t>
  </si>
  <si>
    <t>CUST1094</t>
  </si>
  <si>
    <t>ORD0047</t>
  </si>
  <si>
    <t>CUST1006</t>
  </si>
  <si>
    <t>ORD0048</t>
  </si>
  <si>
    <t>CUST1043</t>
  </si>
  <si>
    <t>ORD0049</t>
  </si>
  <si>
    <t>CUST1038</t>
  </si>
  <si>
    <t>ORD0050</t>
  </si>
  <si>
    <t>CUST1001</t>
  </si>
  <si>
    <t>ORD0051</t>
  </si>
  <si>
    <t>CUST1057</t>
  </si>
  <si>
    <t>ORD0052</t>
  </si>
  <si>
    <t>CUST1012</t>
  </si>
  <si>
    <t>ORD0053</t>
  </si>
  <si>
    <t>CUST1079</t>
  </si>
  <si>
    <t>ORD0054</t>
  </si>
  <si>
    <t>CUST1032</t>
  </si>
  <si>
    <t>ORD0055</t>
  </si>
  <si>
    <t>CUST1060</t>
  </si>
  <si>
    <t>ORD0056</t>
  </si>
  <si>
    <t>CUST1077</t>
  </si>
  <si>
    <t>ORD0057</t>
  </si>
  <si>
    <t>CUST1096</t>
  </si>
  <si>
    <t>ORD0058</t>
  </si>
  <si>
    <t>ORD0059</t>
  </si>
  <si>
    <t>CUST1011</t>
  </si>
  <si>
    <t>ORD0060</t>
  </si>
  <si>
    <t>ORD0061</t>
  </si>
  <si>
    <t>CUST1003</t>
  </si>
  <si>
    <t>ORD0062</t>
  </si>
  <si>
    <t>ORD0063</t>
  </si>
  <si>
    <t>ORD0064</t>
  </si>
  <si>
    <t>ORD0065</t>
  </si>
  <si>
    <t>ORD0066</t>
  </si>
  <si>
    <t>ORD0067</t>
  </si>
  <si>
    <t>ORD0068</t>
  </si>
  <si>
    <t>CUST1015</t>
  </si>
  <si>
    <t>ORD0069</t>
  </si>
  <si>
    <t>CUST1100</t>
  </si>
  <si>
    <t>ORD0070</t>
  </si>
  <si>
    <t>CUST1051</t>
  </si>
  <si>
    <t>ORD0071</t>
  </si>
  <si>
    <t>ORD0072</t>
  </si>
  <si>
    <t>CUST1044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</si>
  <si>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</si>
  <si>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</si>
  <si>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</si>
  <si>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</si>
  <si>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</si>
  <si>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</si>
  <si>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</si>
  <si>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</si>
  <si>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</si>
  <si>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</si>
  <si>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</si>
  <si>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CUST1097</t>
  </si>
  <si>
    <t>ORD0084</t>
  </si>
  <si>
    <t>CUST1007</t>
  </si>
  <si>
    <t>ORD0085</t>
  </si>
  <si>
    <t>ORD0086</t>
  </si>
  <si>
    <t>CUST1078</t>
  </si>
  <si>
    <t>ORD0087</t>
  </si>
  <si>
    <t>ORD0088</t>
  </si>
  <si>
    <t>CUST1071</t>
  </si>
  <si>
    <t>ORD0089</t>
  </si>
  <si>
    <t>CUST1030</t>
  </si>
  <si>
    <t>ORD0090</t>
  </si>
  <si>
    <t>CUST1076</t>
  </si>
  <si>
    <t>ORD0091</t>
  </si>
  <si>
    <t>ORD0092</t>
  </si>
  <si>
    <t>ORD0093</t>
  </si>
  <si>
    <t>CUST1056</t>
  </si>
  <si>
    <t>ORD0094</t>
  </si>
  <si>
    <t>ORD0095</t>
  </si>
  <si>
    <t>CUST1024</t>
  </si>
  <si>
    <t>ORD0096</t>
  </si>
  <si>
    <t>CUST1021</t>
  </si>
  <si>
    <t>ORD0097</t>
  </si>
  <si>
    <t>ORD0098</t>
  </si>
  <si>
    <t>CUST1085</t>
  </si>
  <si>
    <t>ORD0099</t>
  </si>
  <si>
    <t>ORD0100</t>
  </si>
  <si>
    <t>ORD0101</t>
  </si>
  <si>
    <t>ORD0102</t>
  </si>
  <si>
    <t>ORD0103</t>
  </si>
  <si>
    <t>ORD0104</t>
  </si>
  <si>
    <t>CUST1037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</si>
  <si>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</si>
  <si>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</si>
  <si>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</si>
  <si>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</si>
  <si>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</si>
  <si>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</si>
  <si>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</si>
  <si>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</si>
  <si>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</si>
  <si>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</si>
  <si>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</si>
  <si>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CUST1033</t>
  </si>
  <si>
    <t>ORD0116</t>
  </si>
  <si>
    <t>CUST1074</t>
  </si>
  <si>
    <t>ORD0117</t>
  </si>
  <si>
    <t>ORD0118</t>
  </si>
  <si>
    <t>ORD0119</t>
  </si>
  <si>
    <t>ORD0120</t>
  </si>
  <si>
    <t>CUST1068</t>
  </si>
  <si>
    <t>ORD0121</t>
  </si>
  <si>
    <t>ORD0122</t>
  </si>
  <si>
    <t>ORD0123</t>
  </si>
  <si>
    <t>ORD0124</t>
  </si>
  <si>
    <t>CUST1009</t>
  </si>
  <si>
    <t>ORD0125</t>
  </si>
  <si>
    <t>ORD0126</t>
  </si>
  <si>
    <t>ORD0127</t>
  </si>
  <si>
    <t>CUST1005</t>
  </si>
  <si>
    <t>ORD0128</t>
  </si>
  <si>
    <t>CUST1048</t>
  </si>
  <si>
    <t>ORD0129</t>
  </si>
  <si>
    <t>ORD0130</t>
  </si>
  <si>
    <t>ORD0131</t>
  </si>
  <si>
    <t>CUST1019</t>
  </si>
  <si>
    <t>ORD0132</t>
  </si>
  <si>
    <t>ORD0133</t>
  </si>
  <si>
    <t>ORD0134</t>
  </si>
  <si>
    <t>ORD0135</t>
  </si>
  <si>
    <t>ORD0136</t>
  </si>
  <si>
    <t>ORD0137</t>
  </si>
  <si>
    <t>ORD0138</t>
  </si>
  <si>
    <t>CUST1054</t>
  </si>
  <si>
    <t>ORD0139</t>
  </si>
  <si>
    <t>ORD0140</t>
  </si>
  <si>
    <t>ORD0141</t>
  </si>
  <si>
    <t>CUST1093</t>
  </si>
  <si>
    <t>ORD0142</t>
  </si>
  <si>
    <t>ORD0143</t>
  </si>
  <si>
    <t>ORD0144</t>
  </si>
  <si>
    <t>ORD0145</t>
  </si>
  <si>
    <t>ORD0146</t>
  </si>
  <si>
    <t>ORD0147</t>
  </si>
  <si>
    <t>ORD0148</t>
  </si>
  <si>
    <t>CUST1045</t>
  </si>
  <si>
    <t>ORD0149</t>
  </si>
  <si>
    <t>ORD0150</t>
  </si>
  <si>
    <t>CUST1042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</si>
  <si>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</si>
  <si>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</si>
  <si>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</si>
  <si>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</si>
  <si>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</si>
  <si>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</si>
  <si>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</si>
  <si>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</si>
  <si>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</si>
  <si>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</si>
  <si>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CUST1058</t>
  </si>
  <si>
    <t>ORD0161</t>
  </si>
  <si>
    <t>ORD0162</t>
  </si>
  <si>
    <t>ORD0163</t>
  </si>
  <si>
    <t>CUST1081</t>
  </si>
  <si>
    <t>ORD0164</t>
  </si>
  <si>
    <t>ORD0165</t>
  </si>
  <si>
    <t>ORD0166</t>
  </si>
  <si>
    <t>CUST1017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</si>
  <si>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</si>
  <si>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</si>
  <si>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</si>
  <si>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</si>
  <si>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</si>
  <si>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</si>
  <si>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</si>
  <si>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</si>
  <si>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</si>
  <si>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</si>
  <si>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</si>
  <si>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CUST1061</t>
  </si>
  <si>
    <t>ORD0178</t>
  </si>
  <si>
    <t>ORD0179</t>
  </si>
  <si>
    <t>ORD0180</t>
  </si>
  <si>
    <t>ORD0181</t>
  </si>
  <si>
    <t>CUST1086</t>
  </si>
  <si>
    <t>ORD0182</t>
  </si>
  <si>
    <t>ORD0183</t>
  </si>
  <si>
    <t>ORD0184</t>
  </si>
  <si>
    <t>CUST1023</t>
  </si>
  <si>
    <t>ORD0185</t>
  </si>
  <si>
    <t>ORD0186</t>
  </si>
  <si>
    <t>ORD0187</t>
  </si>
  <si>
    <t>ORD0188</t>
  </si>
  <si>
    <t>ORD0189</t>
  </si>
  <si>
    <t>ORD0190</t>
  </si>
  <si>
    <t>CUST1040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</si>
  <si>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</si>
  <si>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</si>
  <si>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</si>
  <si>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</si>
  <si>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</si>
  <si>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</si>
  <si>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</si>
  <si>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</si>
  <si>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</si>
  <si>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</si>
  <si>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</si>
  <si>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</si>
  <si>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</si>
  <si>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CUST1082</t>
  </si>
  <si>
    <t>ORD0204</t>
  </si>
  <si>
    <t>CUST1022</t>
  </si>
  <si>
    <t>ORD0205</t>
  </si>
  <si>
    <t>ORD0206</t>
  </si>
  <si>
    <t>CUST1075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</si>
  <si>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</si>
  <si>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</si>
  <si>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</si>
  <si>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</si>
  <si>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</si>
  <si>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</si>
  <si>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</si>
  <si>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</si>
  <si>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</si>
  <si>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</si>
  <si>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</si>
  <si>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</si>
  <si>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</si>
  <si>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</si>
  <si>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</si>
  <si>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</si>
  <si>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</si>
  <si>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</si>
  <si>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</si>
  <si>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</si>
  <si>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</si>
  <si>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CUST1059</t>
  </si>
  <si>
    <t>ORD0228</t>
  </si>
  <si>
    <t>CUST1039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</si>
  <si>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</si>
  <si>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</si>
  <si>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</si>
  <si>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</si>
  <si>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</si>
  <si>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</si>
  <si>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</si>
  <si>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</si>
  <si>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</si>
  <si>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</si>
  <si>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</si>
  <si>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</si>
  <si>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CUST1062</t>
  </si>
  <si>
    <t>ORD0241</t>
  </si>
  <si>
    <t>ORD0242</t>
  </si>
  <si>
    <t>CUST1052</t>
  </si>
  <si>
    <t>ORD0243</t>
  </si>
  <si>
    <t>CUST1020</t>
  </si>
  <si>
    <t>ORD0244</t>
  </si>
  <si>
    <t>CUST1098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</si>
  <si>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</si>
  <si>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</si>
  <si>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</si>
  <si>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</si>
  <si>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</si>
  <si>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</si>
  <si>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</si>
  <si>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</si>
  <si>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</si>
  <si>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</si>
  <si>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</si>
  <si>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</si>
  <si>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</si>
  <si>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</si>
  <si>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CUST1095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</si>
  <si>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</si>
  <si>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</si>
  <si>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</si>
  <si>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</si>
  <si>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</si>
  <si>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</si>
  <si>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</si>
  <si>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</si>
  <si>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</si>
  <si>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</si>
  <si>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</si>
  <si>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</si>
  <si>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</si>
  <si>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</si>
  <si>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</si>
  <si>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</si>
  <si>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</si>
  <si>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</si>
  <si>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</si>
  <si>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</si>
  <si>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</si>
  <si>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</si>
  <si>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</si>
  <si>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</si>
  <si>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</si>
  <si>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</si>
  <si>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</si>
  <si>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</si>
  <si>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</si>
  <si>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</si>
  <si>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</si>
  <si>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</si>
  <si>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</si>
  <si>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</si>
  <si>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</si>
  <si>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</si>
  <si>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</si>
  <si>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</si>
  <si>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</si>
  <si>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</si>
  <si>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</si>
  <si>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CUST1046</t>
  </si>
  <si>
    <t>ORD0300</t>
  </si>
  <si>
    <t>ORD0301</t>
  </si>
  <si>
    <t>ORD0302</t>
  </si>
  <si>
    <t>ORD0303</t>
  </si>
  <si>
    <t>CUST1067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</si>
  <si>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</si>
  <si>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</si>
  <si>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</si>
  <si>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</si>
  <si>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</si>
  <si>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</si>
  <si>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</si>
  <si>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</si>
  <si>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</si>
  <si>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</si>
  <si>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</si>
  <si>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</si>
  <si>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</si>
  <si>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</si>
  <si>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</si>
  <si>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</si>
  <si>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CUST1027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</si>
  <si>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</si>
  <si>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</si>
  <si>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</si>
  <si>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</si>
  <si>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</si>
  <si>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</si>
  <si>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</si>
  <si>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</si>
  <si>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</si>
  <si>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</si>
  <si>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</si>
  <si>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</si>
  <si>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</si>
  <si>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</si>
  <si>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</si>
  <si>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</si>
  <si>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</si>
  <si>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</si>
  <si>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</si>
  <si>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</si>
  <si>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CUST1002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</si>
  <si>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</si>
  <si>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</si>
  <si>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</si>
  <si>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</si>
  <si>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</si>
  <si>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</si>
  <si>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</si>
  <si>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</si>
  <si>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</si>
  <si>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</si>
  <si>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</si>
  <si>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</si>
  <si>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</si>
  <si>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</si>
  <si>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</si>
  <si>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</si>
  <si>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</si>
  <si>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</si>
  <si>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</si>
  <si>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</si>
  <si>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</si>
  <si>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</si>
  <si>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</si>
  <si>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</si>
  <si>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CUST1066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</si>
  <si>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</si>
  <si>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</si>
  <si>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</si>
  <si>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</si>
  <si>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</si>
  <si>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</si>
  <si>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</si>
  <si>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</si>
  <si>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</si>
  <si>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</si>
  <si>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</si>
  <si>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</si>
  <si>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</si>
  <si>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</si>
  <si>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</si>
  <si>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</si>
  <si>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</si>
  <si>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</si>
  <si>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</si>
  <si>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</si>
  <si>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</si>
  <si>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</si>
  <si>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</si>
  <si>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</si>
  <si>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CUST1084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</si>
  <si>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</si>
  <si>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</si>
  <si>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</si>
  <si>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</si>
  <si>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</si>
  <si>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</si>
  <si>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</si>
  <si>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</si>
  <si>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</si>
  <si>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</si>
  <si>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</si>
  <si>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</si>
  <si>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</si>
  <si>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</si>
  <si>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</si>
  <si>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</si>
  <si>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</si>
  <si>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</si>
  <si>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</si>
  <si>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</si>
  <si>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</si>
  <si>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</si>
  <si>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</si>
  <si>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</si>
  <si>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</si>
  <si>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</si>
  <si>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</si>
  <si>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CUST1092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</si>
  <si>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</si>
  <si>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</si>
  <si>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</si>
  <si>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</si>
  <si>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</si>
  <si>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</si>
  <si>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</si>
  <si>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</si>
  <si>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</si>
  <si>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</si>
  <si>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</si>
  <si>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</si>
  <si>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</si>
  <si>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</si>
  <si>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</si>
  <si>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</si>
  <si>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</si>
  <si>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</si>
  <si>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</si>
  <si>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</si>
  <si>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</si>
  <si>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</si>
  <si>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</si>
  <si>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</si>
  <si>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</si>
  <si>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</si>
  <si>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</si>
  <si>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</si>
  <si>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</si>
  <si>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</si>
  <si>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</si>
  <si>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</si>
  <si>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</si>
  <si>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</si>
  <si>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</si>
  <si>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</si>
  <si>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</si>
  <si>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</si>
  <si>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</si>
  <si>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</si>
  <si>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</si>
  <si>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</si>
  <si>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</si>
  <si>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</si>
  <si>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</si>
  <si>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</si>
  <si>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</si>
  <si>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</si>
  <si>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</si>
  <si>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</si>
  <si>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</si>
  <si>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</si>
  <si>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</si>
  <si>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</si>
  <si>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</si>
  <si>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</si>
  <si>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</si>
  <si>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</si>
  <si>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</si>
  <si>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</si>
  <si>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</si>
  <si>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</si>
  <si>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</si>
  <si>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</si>
  <si>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</si>
  <si>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</si>
  <si>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</si>
  <si>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</si>
  <si>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</si>
  <si>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</si>
  <si>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</si>
  <si>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</si>
  <si>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</si>
  <si>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</si>
  <si>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</si>
  <si>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</si>
  <si>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</si>
  <si>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</si>
  <si>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</si>
  <si>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</si>
  <si>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</si>
  <si>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</si>
  <si>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</si>
  <si>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</si>
  <si>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</si>
  <si>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</si>
  <si>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Total sales</t>
  </si>
  <si>
    <t>Total profit</t>
  </si>
  <si>
    <t>Total orders</t>
  </si>
  <si>
    <t>Total quantity</t>
  </si>
  <si>
    <t>Avg odr value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</si>
  <si>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</si>
  <si>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</si>
  <si>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</si>
  <si>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</si>
  <si>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</si>
  <si>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</si>
  <si>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</si>
  <si>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</si>
  <si>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</si>
  <si>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</si>
  <si>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</si>
  <si>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</si>
  <si>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</si>
  <si>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</si>
  <si>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</si>
  <si>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</si>
  <si>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(All)</t>
  </si>
  <si>
    <t>E-Commerce Sales Dashboard</t>
  </si>
  <si>
    <t>Total Sales</t>
  </si>
  <si>
    <t>Total Profit</t>
  </si>
  <si>
    <t>Total Orders</t>
  </si>
  <si>
    <t>Total Quantity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</si>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</sst>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/>
    <xf numFmtId="0" fontId="0" fillId="0" borderId="0" xfId="0" applyAlignment="1">
      <alignment vertical="center" wrapText="1"/>
    </xf>
    <xf numFmtId="0" fontId="16" fillId="0" borderId="0" xfId="0" applyFont="1"/>
    <xf numFmtId="0" fontId="19" fillId="0" borderId="0" xfId="0" applyFont="1"/>
    <xf numFmtId="0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742234902823381"/>
          <c:y val="0.30590305257839362"/>
          <c:w val="0.38246968875854082"/>
          <c:h val="0.545327681569616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Sheet1!$L$12:$L$17</c:f>
              <c:strCache>
                <c:ptCount val="5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Fashion</c:v>
                </c:pt>
                <c:pt idx="4">
                  <c:v>Furniture</c:v>
                </c:pt>
              </c:strCache>
            </c:strRef>
          </c:cat>
          <c:val>
            <c:numRef>
              <c:f>Sheet1!$M$12:$M$17</c:f>
              <c:numCache>
                <c:formatCode>General</c:formatCode>
                <c:ptCount val="5"/>
                <c:pt idx="0">
                  <c:v>342455.64999999991</c:v>
                </c:pt>
                <c:pt idx="1">
                  <c:v>283455.58999999991</c:v>
                </c:pt>
                <c:pt idx="2">
                  <c:v>11592702.080000002</c:v>
                </c:pt>
                <c:pt idx="3">
                  <c:v>1109053.2799999996</c:v>
                </c:pt>
                <c:pt idx="4">
                  <c:v>1897811.6200000003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2-4FED-87C2-A11A4857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5686288"/>
        <c:axId val="1443991632"/>
      </c:barChart>
      <c:catAx>
        <c:axId val="124568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91632"/>
        <c:crosses val="autoZero"/>
        <c:auto val="1"/>
        <c:lblAlgn val="ctr"/>
        <c:lblOffset val="100"/>
        <c:noMultiLvlLbl val="0"/>
      </c:catAx>
      <c:valAx>
        <c:axId val="144399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8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Sheet1!$I$5:$I$9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Sheet1!$J$5:$J$9</c:f>
              <c:numCache>
                <c:formatCode>General</c:formatCode>
                <c:ptCount val="4"/>
                <c:pt idx="0">
                  <c:v>3666231.5300000007</c:v>
                </c:pt>
                <c:pt idx="1">
                  <c:v>4048877.4800000009</c:v>
                </c:pt>
                <c:pt idx="2">
                  <c:v>3718173.0899999989</c:v>
                </c:pt>
                <c:pt idx="3">
                  <c:v>3792196.120000001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D-4865-88F8-7562B779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4039408"/>
        <c:axId val="1443938352"/>
      </c:barChart>
      <c:catAx>
        <c:axId val="12440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38352"/>
        <c:crosses val="autoZero"/>
        <c:auto val="1"/>
        <c:lblAlgn val="ctr"/>
        <c:lblOffset val="100"/>
        <c:noMultiLvlLbl val="0"/>
      </c:catAx>
      <c:valAx>
        <c:axId val="144393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Sheet1!$M$23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Sheet1!$L$24:$L$36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Sheet1!$M$24:$M$36</c:f>
              <c:numCache>
                <c:formatCode>General</c:formatCode>
                <c:ptCount val="12"/>
                <c:pt idx="0">
                  <c:v>1436905.0300000003</c:v>
                </c:pt>
                <c:pt idx="1">
                  <c:v>1633974.9000000006</c:v>
                </c:pt>
                <c:pt idx="2">
                  <c:v>1335510.4100000004</c:v>
                </c:pt>
                <c:pt idx="3">
                  <c:v>1028327.2899999999</c:v>
                </c:pt>
                <c:pt idx="4">
                  <c:v>1873356.1399999994</c:v>
                </c:pt>
                <c:pt idx="5">
                  <c:v>749921.28000000003</c:v>
                </c:pt>
                <c:pt idx="6">
                  <c:v>1171858.6499999999</c:v>
                </c:pt>
                <c:pt idx="7">
                  <c:v>1366201.3</c:v>
                </c:pt>
                <c:pt idx="8">
                  <c:v>1194782.3400000001</c:v>
                </c:pt>
                <c:pt idx="9">
                  <c:v>1407263.18</c:v>
                </c:pt>
                <c:pt idx="10">
                  <c:v>833843.28000000014</c:v>
                </c:pt>
                <c:pt idx="11">
                  <c:v>1193534.4200000002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7-4004-8F3A-6A703F8F4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408544"/>
        <c:axId val="1443988752"/>
      </c:lineChart>
      <c:catAx>
        <c:axId val="14784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88752"/>
        <c:crosses val="autoZero"/>
        <c:auto val="1"/>
        <c:lblAlgn val="ctr"/>
        <c:lblOffset val="100"/>
        <c:noMultiLvlLbl val="0"/>
      </c:catAx>
      <c:valAx>
        <c:axId val="144398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Sheet1!$I$15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3C-4450-9C9C-274000BF06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3C-4450-9C9C-274000BF06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3C-4450-9C9C-274000BF06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3C-4450-9C9C-274000BF06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3C-4450-9C9C-274000BF06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3C-4450-9C9C-274000BF06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13C-4450-9C9C-274000BF06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13C-4450-9C9C-274000BF06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13C-4450-9C9C-274000BF06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13C-4450-9C9C-274000BF062C}"/>
              </c:ext>
            </c:extLst>
          </c:dPt>
          <c:cat>
            <c:strRef>
              <c:f>Sheet1!$H$16:$H$26</c:f>
              <c:strCache>
                <c:ptCount val="10"/>
                <c:pt idx="0">
                  <c:v>Backpack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Mouse</c:v>
                </c:pt>
                <c:pt idx="6">
                  <c:v>Office Chair</c:v>
                </c:pt>
                <c:pt idx="7">
                  <c:v>Shoes</c:v>
                </c:pt>
                <c:pt idx="8">
                  <c:v>Smartphone</c:v>
                </c:pt>
                <c:pt idx="9">
                  <c:v>Watch</c:v>
                </c:pt>
              </c:strCache>
            </c:strRef>
          </c:cat>
          <c:val>
            <c:numRef>
              <c:f>Sheet1!$I$16:$I$26</c:f>
              <c:numCache>
                <c:formatCode>General</c:formatCode>
                <c:ptCount val="10"/>
                <c:pt idx="0">
                  <c:v>283455.58999999991</c:v>
                </c:pt>
                <c:pt idx="1">
                  <c:v>904658.47999999986</c:v>
                </c:pt>
                <c:pt idx="2">
                  <c:v>357985.22</c:v>
                </c:pt>
                <c:pt idx="3">
                  <c:v>220841.31000000003</c:v>
                </c:pt>
                <c:pt idx="4">
                  <c:v>7931354.5599999996</c:v>
                </c:pt>
                <c:pt idx="5">
                  <c:v>121614.34000000001</c:v>
                </c:pt>
                <c:pt idx="6">
                  <c:v>993153.14000000036</c:v>
                </c:pt>
                <c:pt idx="7">
                  <c:v>407554.91999999993</c:v>
                </c:pt>
                <c:pt idx="8">
                  <c:v>3303362.3000000003</c:v>
                </c:pt>
                <c:pt idx="9">
                  <c:v>701498.35999999964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1-40C3-B3DD-024C6EBE6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Bags</c:v>
              </c:pt>
              <c:pt idx="2">
                <c:v>Electronics</c:v>
              </c:pt>
              <c:pt idx="3">
                <c:v>Fashion</c:v>
              </c:pt>
              <c:pt idx="4">
                <c:v>Furniture</c:v>
              </c:pt>
            </c:strLit>
          </c:cat>
          <c:val>
            <c:numLit>
              <c:formatCode>General</c:formatCode>
              <c:ptCount val="5"/>
              <c:pt idx="0">
                <c:v>81602.479999999938</c:v>
              </c:pt>
              <c:pt idx="1">
                <c:v>70842.480000000025</c:v>
              </c:pt>
              <c:pt idx="2">
                <c:v>2893175.6999999988</c:v>
              </c:pt>
              <c:pt idx="3">
                <c:v>284412.96000000008</c:v>
              </c:pt>
              <c:pt idx="4">
                <c:v>467014.22000000003</c:v>
              </c:pt>
            </c:numLit>
          </c:val>
          <c:extLst>
            <c:ext xmlns:c16="http://schemas.microsoft.com/office/drawing/2014/chart" uri="{C3380CC4-5D6E-409C-BE32-E72D297353CC}">
              <c16:uniqueId val="{00000000-3AF2-4E02-B894-BFF9C011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4024096"/>
        <c:axId val="1443971952"/>
      </c:barChart>
      <c:catAx>
        <c:axId val="124402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71952"/>
        <c:crosses val="autoZero"/>
        <c:auto val="1"/>
        <c:lblAlgn val="ctr"/>
        <c:lblOffset val="100"/>
        <c:noMultiLvlLbl val="0"/>
      </c:catAx>
      <c:valAx>
        <c:axId val="14439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2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[Ecommerce_Sales_Analysis.xlsx.xlsx]Sheet2!PivotTable6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3596480.1099999989</c:v>
                </c:pt>
                <c:pt idx="1">
                  <c:v>4302195.5099999988</c:v>
                </c:pt>
                <c:pt idx="2">
                  <c:v>4316417.6600000011</c:v>
                </c:pt>
                <c:pt idx="3">
                  <c:v>3010384.9400000018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9-46FA-A837-713E1290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8414112"/>
        <c:axId val="1443974832"/>
      </c:barChart>
      <c:catAx>
        <c:axId val="147841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74832"/>
        <c:crosses val="autoZero"/>
        <c:auto val="1"/>
        <c:lblAlgn val="ctr"/>
        <c:lblOffset val="100"/>
        <c:noMultiLvlLbl val="0"/>
      </c:catAx>
      <c:valAx>
        <c:axId val="144397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[Ecommerce_Sales_Analysis.xlsx.xlsx]Sheet2!PivotTable8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Sheet2!$G$14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F7-458E-B5C2-121E655381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F7-458E-B5C2-121E655381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F7-458E-B5C2-121E655381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F7-458E-B5C2-121E655381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F7-458E-B5C2-121E655381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F7-458E-B5C2-121E655381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3F7-458E-B5C2-121E655381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3F7-458E-B5C2-121E655381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3F7-458E-B5C2-121E6553817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3F7-458E-B5C2-121E6553817A}"/>
              </c:ext>
            </c:extLst>
          </c:dPt>
          <c:cat>
            <c:strRef>
              <c:f>Sheet2!$F$15:$F$25</c:f>
              <c:strCache>
                <c:ptCount val="10"/>
                <c:pt idx="0">
                  <c:v>CUST1008</c:v>
                </c:pt>
                <c:pt idx="1">
                  <c:v>CUST1009</c:v>
                </c:pt>
                <c:pt idx="2">
                  <c:v>CUST1033</c:v>
                </c:pt>
                <c:pt idx="3">
                  <c:v>CUST1039</c:v>
                </c:pt>
                <c:pt idx="4">
                  <c:v>CUST1044</c:v>
                </c:pt>
                <c:pt idx="5">
                  <c:v>CUST1051</c:v>
                </c:pt>
                <c:pt idx="6">
                  <c:v>CUST1062</c:v>
                </c:pt>
                <c:pt idx="7">
                  <c:v>CUST1064</c:v>
                </c:pt>
                <c:pt idx="8">
                  <c:v>CUST1073</c:v>
                </c:pt>
                <c:pt idx="9">
                  <c:v>CUST1090</c:v>
                </c:pt>
              </c:strCache>
            </c:strRef>
          </c:cat>
          <c:val>
            <c:numRef>
              <c:f>Sheet2!$G$15:$G$25</c:f>
              <c:numCache>
                <c:formatCode>General</c:formatCode>
                <c:ptCount val="10"/>
                <c:pt idx="0">
                  <c:v>552284.28</c:v>
                </c:pt>
                <c:pt idx="1">
                  <c:v>606551.21</c:v>
                </c:pt>
                <c:pt idx="2">
                  <c:v>387368.64</c:v>
                </c:pt>
                <c:pt idx="3">
                  <c:v>413429.87</c:v>
                </c:pt>
                <c:pt idx="4">
                  <c:v>397261.83000000007</c:v>
                </c:pt>
                <c:pt idx="5">
                  <c:v>480491.63</c:v>
                </c:pt>
                <c:pt idx="6">
                  <c:v>473152.8</c:v>
                </c:pt>
                <c:pt idx="7">
                  <c:v>407169.87</c:v>
                </c:pt>
                <c:pt idx="8">
                  <c:v>366264.73</c:v>
                </c:pt>
                <c:pt idx="9">
                  <c:v>476024.50000000006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5-4226-9EA5-189E26442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[Ecommerce_Sales_Analysis.xlsx.xlsx]Sheet2!PivotTable9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Sheet2!$A$33:$A$38</c:f>
              <c:strCach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strCache>
            </c:strRef>
          </c:cat>
          <c:val>
            <c:numRef>
              <c:f>Sheet2!$B$33:$B$38</c:f>
              <c:numCache>
                <c:formatCode>General</c:formatCode>
                <c:ptCount val="5"/>
                <c:pt idx="0">
                  <c:v>3012341.4899999993</c:v>
                </c:pt>
                <c:pt idx="1">
                  <c:v>2131109.04</c:v>
                </c:pt>
                <c:pt idx="2">
                  <c:v>4238455.17</c:v>
                </c:pt>
                <c:pt idx="3">
                  <c:v>3484447.9700000016</c:v>
                </c:pt>
                <c:pt idx="4">
                  <c:v>2359124.5499999989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B-4EC6-8EA1-5D009A6A5C4D}"/>
            </c:ext>
          </c:extLst>
        </c:ser>
        <c:ser>
          <c:idx val="1"/>
          <c:order val="1"/>
          <c:tx>
            <c:strRef>
              <c:f>Sheet2!$C$32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Sheet2!$A$33:$A$38</c:f>
              <c:strCach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strCache>
            </c:strRef>
          </c:cat>
          <c:val>
            <c:numRef>
              <c:f>Sheet2!$C$33:$C$38</c:f>
              <c:numCache>
                <c:formatCode>General</c:formatCode>
                <c:ptCount val="5"/>
                <c:pt idx="0">
                  <c:v>961310.03</c:v>
                </c:pt>
                <c:pt idx="1">
                  <c:v>579780.92999999993</c:v>
                </c:pt>
                <c:pt idx="2">
                  <c:v>1024999.0400000002</c:v>
                </c:pt>
                <c:pt idx="3">
                  <c:v>733973.32000000053</c:v>
                </c:pt>
                <c:pt idx="4">
                  <c:v>496984.51999999996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B-4EC6-8EA1-5D009A6A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596112"/>
        <c:axId val="1444009392"/>
      </c:barChart>
      <c:catAx>
        <c:axId val="14425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09392"/>
        <c:crosses val="autoZero"/>
        <c:auto val="1"/>
        <c:lblAlgn val="ctr"/>
        <c:lblOffset val="100"/>
        <c:noMultiLvlLbl val="0"/>
      </c:catAx>
      <c:valAx>
        <c:axId val="144400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Sheet2!$S$4:$S$9</c:f>
              <c:strCache>
                <c:ptCount val="5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Fashion</c:v>
                </c:pt>
                <c:pt idx="4">
                  <c:v>Furniture</c:v>
                </c:pt>
              </c:strCache>
            </c:strRef>
          </c:cat>
          <c:val>
            <c:numRef>
              <c:f>Sheet2!$T$4:$T$9</c:f>
              <c:numCache>
                <c:formatCode>General</c:formatCode>
                <c:ptCount val="5"/>
                <c:pt idx="0">
                  <c:v>81602.479999999938</c:v>
                </c:pt>
                <c:pt idx="1">
                  <c:v>70842.480000000025</c:v>
                </c:pt>
                <c:pt idx="2">
                  <c:v>2893175.6999999988</c:v>
                </c:pt>
                <c:pt idx="3">
                  <c:v>284412.96000000008</c:v>
                </c:pt>
                <c:pt idx="4">
                  <c:v>467014.22000000003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3-49BA-84AB-6C680F69E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4940079"/>
        <c:axId val="1788128975"/>
        <c:axId val="0"/>
      </c:bar3DChart>
      <c:catAx>
        <c:axId val="203494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28975"/>
        <c:crosses val="autoZero"/>
        <c:auto val="1"/>
        <c:lblAlgn val="ctr"/>
        <c:lblOffset val="100"/>
        <c:noMultiLvlLbl val="0"/>
      </c:catAx>
      <c:valAx>
        <c:axId val="17881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1436905.0300000003</c:v>
                </c:pt>
                <c:pt idx="1">
                  <c:v>1633974.9000000006</c:v>
                </c:pt>
                <c:pt idx="2">
                  <c:v>1335510.4100000004</c:v>
                </c:pt>
                <c:pt idx="3">
                  <c:v>1028327.2899999999</c:v>
                </c:pt>
                <c:pt idx="4">
                  <c:v>1873356.1399999994</c:v>
                </c:pt>
                <c:pt idx="5">
                  <c:v>749921.28000000003</c:v>
                </c:pt>
                <c:pt idx="6">
                  <c:v>1171858.6499999999</c:v>
                </c:pt>
                <c:pt idx="7">
                  <c:v>1366201.3</c:v>
                </c:pt>
                <c:pt idx="8">
                  <c:v>1194782.3400000001</c:v>
                </c:pt>
                <c:pt idx="9">
                  <c:v>1407263.18</c:v>
                </c:pt>
                <c:pt idx="10">
                  <c:v>833843.28000000014</c:v>
                </c:pt>
                <c:pt idx="11">
                  <c:v>1193534.4200000002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5-4188-A5A9-8FB3E98CE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176351"/>
        <c:axId val="1788098255"/>
      </c:barChart>
      <c:catAx>
        <c:axId val="203717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98255"/>
        <c:crosses val="autoZero"/>
        <c:auto val="1"/>
        <c:lblAlgn val="ctr"/>
        <c:lblOffset val="100"/>
        <c:noMultiLvlLbl val="0"/>
      </c:catAx>
      <c:valAx>
        <c:axId val="178809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1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Sheet1!$L$12:$L$17</c:f>
              <c:strCache>
                <c:ptCount val="5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Fashion</c:v>
                </c:pt>
                <c:pt idx="4">
                  <c:v>Furniture</c:v>
                </c:pt>
              </c:strCache>
            </c:strRef>
          </c:cat>
          <c:val>
            <c:numRef>
              <c:f>Sheet1!$M$12:$M$17</c:f>
              <c:numCache>
                <c:formatCode>General</c:formatCode>
                <c:ptCount val="5"/>
                <c:pt idx="0">
                  <c:v>342455.64999999991</c:v>
                </c:pt>
                <c:pt idx="1">
                  <c:v>283455.58999999991</c:v>
                </c:pt>
                <c:pt idx="2">
                  <c:v>11592702.080000002</c:v>
                </c:pt>
                <c:pt idx="3">
                  <c:v>1109053.2799999996</c:v>
                </c:pt>
                <c:pt idx="4">
                  <c:v>1897811.6200000003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D-4C7A-A22E-A41B2CE73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8808575"/>
        <c:axId val="1788074735"/>
        <c:axId val="0"/>
      </c:bar3DChart>
      <c:catAx>
        <c:axId val="208880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74735"/>
        <c:crosses val="autoZero"/>
        <c:auto val="1"/>
        <c:lblAlgn val="ctr"/>
        <c:lblOffset val="100"/>
        <c:noMultiLvlLbl val="0"/>
      </c:catAx>
      <c:valAx>
        <c:axId val="17880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80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IN" sz="1400" b="0" i="0" u="none" strike="noStrike" baseline="0"/>
              <a:t>Product-wise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Sheet1!$H$16:$H$26</c:f>
              <c:strCache>
                <c:ptCount val="10"/>
                <c:pt idx="0">
                  <c:v>Backpack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Mouse</c:v>
                </c:pt>
                <c:pt idx="6">
                  <c:v>Office Chair</c:v>
                </c:pt>
                <c:pt idx="7">
                  <c:v>Shoes</c:v>
                </c:pt>
                <c:pt idx="8">
                  <c:v>Smartphone</c:v>
                </c:pt>
                <c:pt idx="9">
                  <c:v>Watch</c:v>
                </c:pt>
              </c:strCache>
            </c:strRef>
          </c:cat>
          <c:val>
            <c:numRef>
              <c:f>Sheet1!$I$16:$I$26</c:f>
              <c:numCache>
                <c:formatCode>General</c:formatCode>
                <c:ptCount val="10"/>
                <c:pt idx="0">
                  <c:v>283455.58999999991</c:v>
                </c:pt>
                <c:pt idx="1">
                  <c:v>904658.47999999986</c:v>
                </c:pt>
                <c:pt idx="2">
                  <c:v>357985.22</c:v>
                </c:pt>
                <c:pt idx="3">
                  <c:v>220841.31000000003</c:v>
                </c:pt>
                <c:pt idx="4">
                  <c:v>7931354.5599999996</c:v>
                </c:pt>
                <c:pt idx="5">
                  <c:v>121614.34000000001</c:v>
                </c:pt>
                <c:pt idx="6">
                  <c:v>993153.14000000036</c:v>
                </c:pt>
                <c:pt idx="7">
                  <c:v>407554.91999999993</c:v>
                </c:pt>
                <c:pt idx="8">
                  <c:v>3303362.3000000003</c:v>
                </c:pt>
                <c:pt idx="9">
                  <c:v>701498.35999999964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5-481D-B446-B8ECE301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7241775"/>
        <c:axId val="1788132815"/>
        <c:axId val="0"/>
      </c:bar3DChart>
      <c:catAx>
        <c:axId val="203724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32815"/>
        <c:crosses val="autoZero"/>
        <c:auto val="1"/>
        <c:lblAlgn val="ctr"/>
        <c:lblOffset val="100"/>
        <c:noMultiLvlLbl val="0"/>
      </c:catAx>
      <c:valAx>
        <c:axId val="17881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24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Sheet1!$I$5:$I$9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Sheet1!$J$5:$J$9</c:f>
              <c:numCache>
                <c:formatCode>General</c:formatCode>
                <c:ptCount val="4"/>
                <c:pt idx="0">
                  <c:v>3666231.5300000007</c:v>
                </c:pt>
                <c:pt idx="1">
                  <c:v>4048877.4800000009</c:v>
                </c:pt>
                <c:pt idx="2">
                  <c:v>3718173.0899999989</c:v>
                </c:pt>
                <c:pt idx="3">
                  <c:v>3792196.120000001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E-48E2-9C1A-7A7CD5D2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6850543"/>
        <c:axId val="1779161295"/>
        <c:axId val="0"/>
      </c:bar3DChart>
      <c:catAx>
        <c:axId val="199685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61295"/>
        <c:crosses val="autoZero"/>
        <c:auto val="1"/>
        <c:lblAlgn val="ctr"/>
        <c:lblOffset val="100"/>
        <c:noMultiLvlLbl val="0"/>
      </c:catAx>
      <c:valAx>
        <c:axId val="17791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5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[Ecommerce_Sales_Analysis.xlsx.xlsx]Sheet2!PivotTable1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Region-wise Sales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Sheet2!$S$4:$S$9</c:f>
              <c:strCache>
                <c:ptCount val="5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Fashion</c:v>
                </c:pt>
                <c:pt idx="4">
                  <c:v>Furniture</c:v>
                </c:pt>
              </c:strCache>
            </c:strRef>
          </c:cat>
          <c:val>
            <c:numRef>
              <c:f>Sheet2!$T$4:$T$9</c:f>
              <c:numCache>
                <c:formatCode>General</c:formatCode>
                <c:ptCount val="5"/>
                <c:pt idx="0">
                  <c:v>81602.479999999938</c:v>
                </c:pt>
                <c:pt idx="1">
                  <c:v>70842.480000000025</c:v>
                </c:pt>
                <c:pt idx="2">
                  <c:v>2893175.6999999988</c:v>
                </c:pt>
                <c:pt idx="3">
                  <c:v>284412.96000000008</c:v>
                </c:pt>
                <c:pt idx="4">
                  <c:v>467014.22000000003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3-465E-A908-8128634EF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4940079"/>
        <c:axId val="1788128975"/>
        <c:axId val="0"/>
      </c:bar3DChart>
      <c:catAx>
        <c:axId val="203494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28975"/>
        <c:crosses val="autoZero"/>
        <c:auto val="1"/>
        <c:lblAlgn val="ctr"/>
        <c:lblOffset val="100"/>
        <c:noMultiLvlLbl val="0"/>
      </c:catAx>
      <c:valAx>
        <c:axId val="17881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9</xdr:row>
      <xdr:rowOff>144780</xdr:rowOff>
    </xdr:from>
    <xdr:to>
      <xdr:col>19</xdr:col>
      <xdr:colOff>335280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3B30C-E8A7-24A0-EE1C-9857A7445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0</xdr:row>
      <xdr:rowOff>0</xdr:rowOff>
    </xdr:from>
    <xdr:to>
      <xdr:col>7</xdr:col>
      <xdr:colOff>624840</xdr:colOff>
      <xdr:row>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C7D337-2D33-FA6D-1221-9BAF9D2F2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335280</xdr:colOff>
      <xdr:row>32</xdr:row>
      <xdr:rowOff>140970</xdr:rowOff>
    </xdr:from>
    <xdr:to>
      <xdr:col>10</xdr:col>
      <xdr:colOff>533400</xdr:colOff>
      <xdr:row>47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9AF5FE-FE40-3D45-12A3-F6006DF50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807720</xdr:colOff>
      <xdr:row>18</xdr:row>
      <xdr:rowOff>179070</xdr:rowOff>
    </xdr:from>
    <xdr:to>
      <xdr:col>6</xdr:col>
      <xdr:colOff>365760</xdr:colOff>
      <xdr:row>33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F1648F-150D-F5B2-67AC-8690AC167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0</xdr:row>
      <xdr:rowOff>0</xdr:rowOff>
    </xdr:from>
    <xdr:to>
      <xdr:col>14</xdr:col>
      <xdr:colOff>594360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378BE-B71A-FBE6-9B77-57C0EAC0F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9</xdr:row>
      <xdr:rowOff>125730</xdr:rowOff>
    </xdr:from>
    <xdr:to>
      <xdr:col>3</xdr:col>
      <xdr:colOff>350520</xdr:colOff>
      <xdr:row>24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00C834-0D95-DC81-6506-A84E4F6EB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236220</xdr:colOff>
      <xdr:row>14</xdr:row>
      <xdr:rowOff>133350</xdr:rowOff>
    </xdr:from>
    <xdr:to>
      <xdr:col>14</xdr:col>
      <xdr:colOff>541020</xdr:colOff>
      <xdr:row>29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15D62D-F514-2C0D-29AF-1D1335BED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</xdr:colOff>
      <xdr:row>30</xdr:row>
      <xdr:rowOff>41910</xdr:rowOff>
    </xdr:from>
    <xdr:to>
      <xdr:col>10</xdr:col>
      <xdr:colOff>563880</xdr:colOff>
      <xdr:row>45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B9EC57-C367-FE38-2AA9-E453F3248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434340</xdr:colOff>
      <xdr:row>10</xdr:row>
      <xdr:rowOff>110490</xdr:rowOff>
    </xdr:from>
    <xdr:to>
      <xdr:col>25</xdr:col>
      <xdr:colOff>266700</xdr:colOff>
      <xdr:row>25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C0F93F-1521-632B-4DEE-3FA0032A1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6</xdr:row>
      <xdr:rowOff>22860</xdr:rowOff>
    </xdr:from>
    <xdr:to>
      <xdr:col>8</xdr:col>
      <xdr:colOff>541020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FE2B5-9CB3-46B7-BD15-A694E76F3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198120</xdr:colOff>
      <xdr:row>23</xdr:row>
      <xdr:rowOff>15240</xdr:rowOff>
    </xdr:from>
    <xdr:to>
      <xdr:col>8</xdr:col>
      <xdr:colOff>502920</xdr:colOff>
      <xdr:row>38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6E60A8-AEC2-4321-B8EB-F59DC2FCA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441960</xdr:colOff>
      <xdr:row>5</xdr:row>
      <xdr:rowOff>350520</xdr:rowOff>
    </xdr:from>
    <xdr:to>
      <xdr:col>17</xdr:col>
      <xdr:colOff>137160</xdr:colOff>
      <xdr:row>20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88966A-A8B1-43F2-AD2B-5F18011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419100</xdr:colOff>
      <xdr:row>22</xdr:row>
      <xdr:rowOff>114300</xdr:rowOff>
    </xdr:from>
    <xdr:to>
      <xdr:col>17</xdr:col>
      <xdr:colOff>114300</xdr:colOff>
      <xdr:row>37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E0CBD9-9CCB-4C21-8B65-62366E934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40</xdr:row>
      <xdr:rowOff>0</xdr:rowOff>
    </xdr:from>
    <xdr:to>
      <xdr:col>9</xdr:col>
      <xdr:colOff>334027</xdr:colOff>
      <xdr:row>54</xdr:row>
      <xdr:rowOff>112734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AFF689-C45C-496B-B955-09391AD13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6.463317708331" createdVersion="8" refreshedVersion="8" minRefreshableVersion="3" recordCount="500" xr:uid="{0FED038F-D405-432C-B598-7246B2969CB8}">
  <cacheSource type="worksheet">
    <worksheetSource name="Table1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271">
        <d v="2025-02-22T00:00:00"/>
        <d v="2025-01-14T00:00:00"/>
        <d v="2025-03-23T00:00:00"/>
        <d v="2025-02-17T00:00:00"/>
        <d v="2025-10-02T00:00:00"/>
        <d v="2025-04-09T00:00:00"/>
        <d v="2025-07-14T00:00:00"/>
        <d v="2025-12-16T00:00:00"/>
        <d v="2025-11-24T00:00:00"/>
        <d v="2025-02-03T00:00:00"/>
        <d v="2025-10-15T00:00:00"/>
        <d v="2025-09-18T00:00:00"/>
        <d v="2025-02-02T00:00:00"/>
        <d v="2025-02-28T00:00:00"/>
        <d v="2025-05-15T00:00:00"/>
        <d v="2025-03-24T00:00:00"/>
        <d v="2025-06-07T00:00:00"/>
        <d v="2025-09-30T00:00:00"/>
        <d v="2025-08-05T00:00:00"/>
        <d v="2025-05-07T00:00:00"/>
        <d v="2025-02-06T00:00:00"/>
        <d v="2025-12-09T00:00:00"/>
        <d v="2025-07-28T00:00:00"/>
        <d v="2025-01-28T00:00:00"/>
        <d v="2025-08-18T00:00:00"/>
        <d v="2025-10-09T00:00:00"/>
        <d v="2025-07-25T00:00:00"/>
        <d v="2025-05-27T00:00:00"/>
        <d v="2025-10-05T00:00:00"/>
        <d v="2025-03-22T00:00:00"/>
        <d v="2025-03-03T00:00:00"/>
        <d v="2025-06-11T00:00:00"/>
        <d v="2025-08-23T00:00:00"/>
        <d v="2025-04-20T00:00:00"/>
        <d v="2025-10-06T00:00:00"/>
        <d v="2025-03-01T00:00:00"/>
        <d v="2025-11-21T00:00:00"/>
        <d v="2025-06-20T00:00:00"/>
        <d v="2025-02-27T00:00:00"/>
        <d v="2025-04-24T00:00:00"/>
        <d v="2025-06-18T00:00:00"/>
        <d v="2025-06-19T00:00:00"/>
        <d v="2025-06-26T00:00:00"/>
        <d v="2025-05-11T00:00:00"/>
        <d v="2025-12-07T00:00:00"/>
        <d v="2025-12-23T00:00:00"/>
        <d v="2025-10-08T00:00:00"/>
        <d v="2025-08-15T00:00:00"/>
        <d v="2025-06-21T00:00:00"/>
        <d v="2025-09-01T00:00:00"/>
        <d v="2025-07-24T00:00:00"/>
        <d v="2025-09-23T00:00:00"/>
        <d v="2025-10-14T00:00:00"/>
        <d v="2025-11-17T00:00:00"/>
        <d v="2025-10-04T00:00:00"/>
        <d v="2025-08-03T00:00:00"/>
        <d v="2025-10-31T00:00:00"/>
        <d v="2025-06-17T00:00:00"/>
        <d v="2025-05-10T00:00:00"/>
        <d v="2025-11-30T00:00:00"/>
        <d v="2025-07-12T00:00:00"/>
        <d v="2025-12-17T00:00:00"/>
        <d v="2025-11-28T00:00:00"/>
        <d v="2025-08-24T00:00:00"/>
        <d v="2025-09-05T00:00:00"/>
        <d v="2025-08-26T00:00:00"/>
        <d v="2025-05-13T00:00:00"/>
        <d v="2025-12-21T00:00:00"/>
        <d v="2025-09-26T00:00:00"/>
        <d v="2025-12-29T00:00:00"/>
        <d v="2025-11-23T00:00:00"/>
        <d v="2025-04-05T00:00:00"/>
        <d v="2025-12-18T00:00:00"/>
        <d v="2025-08-02T00:00:00"/>
        <d v="2025-06-06T00:00:00"/>
        <d v="2025-03-30T00:00:00"/>
        <d v="2025-01-17T00:00:00"/>
        <d v="2025-03-14T00:00:00"/>
        <d v="2025-08-28T00:00:00"/>
        <d v="2025-01-21T00:00:00"/>
        <d v="2025-10-22T00:00:00"/>
        <d v="2025-05-23T00:00:00"/>
        <d v="2025-02-23T00:00:00"/>
        <d v="2025-08-21T00:00:00"/>
        <d v="2025-01-01T00:00:00"/>
        <d v="2025-12-24T00:00:00"/>
        <d v="2025-04-08T00:00:00"/>
        <d v="2025-01-02T00:00:00"/>
        <d v="2025-07-30T00:00:00"/>
        <d v="2025-09-15T00:00:00"/>
        <d v="2025-03-15T00:00:00"/>
        <d v="2025-02-11T00:00:00"/>
        <d v="2025-01-15T00:00:00"/>
        <d v="2025-05-04T00:00:00"/>
        <d v="2025-08-27T00:00:00"/>
        <d v="2025-12-20T00:00:00"/>
        <d v="2025-07-03T00:00:00"/>
        <d v="2025-01-26T00:00:00"/>
        <d v="2025-05-09T00:00:00"/>
        <d v="2025-03-09T00:00:00"/>
        <d v="2025-07-07T00:00:00"/>
        <d v="2025-01-08T00:00:00"/>
        <d v="2025-07-10T00:00:00"/>
        <d v="2025-09-10T00:00:00"/>
        <d v="2025-05-24T00:00:00"/>
        <d v="2025-04-16T00:00:00"/>
        <d v="2025-05-22T00:00:00"/>
        <d v="2025-05-02T00:00:00"/>
        <d v="2025-08-07T00:00:00"/>
        <d v="2025-03-06T00:00:00"/>
        <d v="2025-02-20T00:00:00"/>
        <d v="2025-08-31T00:00:00"/>
        <d v="2025-03-08T00:00:00"/>
        <d v="2025-03-21T00:00:00"/>
        <d v="2025-10-21T00:00:00"/>
        <d v="2025-06-08T00:00:00"/>
        <d v="2025-06-16T00:00:00"/>
        <d v="2025-04-23T00:00:00"/>
        <d v="2025-05-29T00:00:00"/>
        <d v="2025-04-28T00:00:00"/>
        <d v="2025-06-10T00:00:00"/>
        <d v="2025-03-29T00:00:00"/>
        <d v="2025-05-21T00:00:00"/>
        <d v="2025-07-08T00:00:00"/>
        <d v="2025-01-22T00:00:00"/>
        <d v="2025-11-09T00:00:00"/>
        <d v="2025-01-27T00:00:00"/>
        <d v="2025-12-03T00:00:00"/>
        <d v="2025-12-02T00:00:00"/>
        <d v="2025-02-21T00:00:00"/>
        <d v="2025-08-16T00:00:00"/>
        <d v="2025-08-29T00:00:00"/>
        <d v="2025-09-22T00:00:00"/>
        <d v="2025-08-12T00:00:00"/>
        <d v="2025-05-01T00:00:00"/>
        <d v="2025-11-29T00:00:00"/>
        <d v="2025-12-28T00:00:00"/>
        <d v="2025-11-08T00:00:00"/>
        <d v="2025-04-06T00:00:00"/>
        <d v="2025-10-11T00:00:00"/>
        <d v="2025-02-04T00:00:00"/>
        <d v="2025-11-26T00:00:00"/>
        <d v="2025-01-19T00:00:00"/>
        <d v="2025-07-17T00:00:00"/>
        <d v="2025-08-06T00:00:00"/>
        <d v="2025-06-01T00:00:00"/>
        <d v="2025-06-30T00:00:00"/>
        <d v="2025-12-14T00:00:00"/>
        <d v="2025-11-27T00:00:00"/>
        <d v="2025-07-09T00:00:00"/>
        <d v="2025-04-13T00:00:00"/>
        <d v="2025-06-13T00:00:00"/>
        <d v="2025-12-31T00:00:00"/>
        <d v="2025-10-10T00:00:00"/>
        <d v="2025-06-05T00:00:00"/>
        <d v="2025-11-18T00:00:00"/>
        <d v="2025-01-31T00:00:00"/>
        <d v="2025-11-12T00:00:00"/>
        <d v="2025-09-21T00:00:00"/>
        <d v="2025-12-11T00:00:00"/>
        <d v="2025-07-26T00:00:00"/>
        <d v="2025-02-07T00:00:00"/>
        <d v="2025-07-11T00:00:00"/>
        <d v="2025-01-20T00:00:00"/>
        <d v="2025-10-24T00:00:00"/>
        <d v="2025-03-19T00:00:00"/>
        <d v="2025-02-01T00:00:00"/>
        <d v="2025-10-13T00:00:00"/>
        <d v="2025-02-10T00:00:00"/>
        <d v="2025-09-29T00:00:00"/>
        <d v="2025-03-12T00:00:00"/>
        <d v="2025-03-25T00:00:00"/>
        <d v="2025-03-13T00:00:00"/>
        <d v="2025-09-02T00:00:00"/>
        <d v="2025-04-22T00:00:00"/>
        <d v="2025-10-16T00:00:00"/>
        <d v="2025-09-20T00:00:00"/>
        <d v="2025-04-25T00:00:00"/>
        <d v="2025-11-11T00:00:00"/>
        <d v="2025-01-29T00:00:00"/>
        <d v="2025-06-14T00:00:00"/>
        <d v="2025-10-30T00:00:00"/>
        <d v="2025-12-10T00:00:00"/>
        <d v="2025-08-19T00:00:00"/>
        <d v="2025-09-12T00:00:00"/>
        <d v="2025-03-20T00:00:00"/>
        <d v="2025-09-16T00:00:00"/>
        <d v="2025-09-27T00:00:00"/>
        <d v="2025-05-05T00:00:00"/>
        <d v="2025-02-18T00:00:00"/>
        <d v="2025-12-13T00:00:00"/>
        <d v="2025-11-01T00:00:00"/>
        <d v="2025-05-30T00:00:00"/>
        <d v="2025-01-06T00:00:00"/>
        <d v="2025-08-17T00:00:00"/>
        <d v="2025-07-27T00:00:00"/>
        <d v="2025-09-08T00:00:00"/>
        <d v="2025-05-03T00:00:00"/>
        <d v="2025-04-10T00:00:00"/>
        <d v="2025-01-16T00:00:00"/>
        <d v="2025-04-19T00:00:00"/>
        <d v="2025-09-06T00:00:00"/>
        <d v="2025-08-14T00:00:00"/>
        <d v="2025-12-25T00:00:00"/>
        <d v="2025-06-03T00:00:00"/>
        <d v="2025-03-26T00:00:00"/>
        <d v="2025-02-14T00:00:00"/>
        <d v="2025-09-28T00:00:00"/>
        <d v="2025-03-02T00:00:00"/>
        <d v="2025-10-23T00:00:00"/>
        <d v="2025-03-27T00:00:00"/>
        <d v="2025-01-23T00:00:00"/>
        <d v="2025-02-09T00:00:00"/>
        <d v="2025-01-24T00:00:00"/>
        <d v="2025-04-11T00:00:00"/>
        <d v="2025-12-22T00:00:00"/>
        <d v="2025-09-24T00:00:00"/>
        <d v="2025-07-21T00:00:00"/>
        <d v="2025-10-27T00:00:00"/>
        <d v="2025-07-22T00:00:00"/>
        <d v="2025-10-12T00:00:00"/>
        <d v="2025-02-08T00:00:00"/>
        <d v="2025-05-17T00:00:00"/>
        <d v="2025-10-18T00:00:00"/>
        <d v="2025-02-26T00:00:00"/>
        <d v="2025-03-11T00:00:00"/>
        <d v="2025-07-02T00:00:00"/>
        <d v="2025-12-26T00:00:00"/>
        <d v="2025-06-29T00:00:00"/>
        <d v="2025-07-31T00:00:00"/>
        <d v="2025-11-25T00:00:00"/>
        <d v="2025-02-19T00:00:00"/>
        <d v="2025-09-25T00:00:00"/>
        <d v="2025-01-18T00:00:00"/>
        <d v="2025-01-07T00:00:00"/>
        <d v="2025-10-20T00:00:00"/>
        <d v="2025-04-27T00:00:00"/>
        <d v="2025-06-09T00:00:00"/>
        <d v="2025-05-25T00:00:00"/>
        <d v="2025-05-14T00:00:00"/>
        <d v="2025-11-04T00:00:00"/>
        <d v="2025-07-18T00:00:00"/>
        <d v="2025-08-04T00:00:00"/>
        <d v="2025-06-02T00:00:00"/>
        <d v="2025-02-15T00:00:00"/>
        <d v="2025-05-08T00:00:00"/>
        <d v="2025-12-05T00:00:00"/>
        <d v="2025-05-19T00:00:00"/>
        <d v="2025-02-24T00:00:00"/>
        <d v="2025-05-12T00:00:00"/>
        <d v="2025-01-05T00:00:00"/>
        <d v="2025-11-14T00:00:00"/>
        <d v="2025-06-24T00:00:00"/>
        <d v="2025-07-29T00:00:00"/>
        <d v="2025-05-31T00:00:00"/>
        <d v="2025-12-08T00:00:00"/>
        <d v="2025-12-12T00:00:00"/>
        <d v="2025-07-15T00:00:00"/>
        <d v="2025-06-28T00:00:00"/>
        <d v="2025-11-15T00:00:00"/>
        <d v="2025-01-13T00:00:00"/>
        <d v="2025-11-19T00:00:00"/>
        <d v="2025-08-11T00:00:00"/>
        <d v="2025-04-02T00:00:00"/>
        <d v="2025-07-20T00:00:00"/>
        <d v="2025-03-05T00:00:00"/>
        <d v="2025-04-12T00:00:00"/>
        <d v="2025-10-03T00:00:00"/>
        <d v="2025-12-01T00:00:00"/>
        <d v="2025-03-16T00:00:00"/>
        <d v="2025-04-30T00:00:00"/>
      </sharedItems>
      <fieldGroup par="14"/>
    </cacheField>
    <cacheField name="Customer_ID" numFmtId="0">
      <sharedItems count="99">
        <s v="CUST1087"/>
        <s v="CUST1072"/>
        <s v="CUST1090"/>
        <s v="CUST1049"/>
        <s v="CUST1016"/>
        <s v="CUST1091"/>
        <s v="CUST1036"/>
        <s v="CUST1083"/>
        <s v="CUST1089"/>
        <s v="CUST1028"/>
        <s v="CUST1069"/>
        <s v="CUST1064"/>
        <s v="CUST1050"/>
        <s v="CUST1088"/>
        <s v="CUST1065"/>
        <s v="CUST1070"/>
        <s v="CUST1031"/>
        <s v="CUST1099"/>
        <s v="CUST1029"/>
        <s v="CUST1063"/>
        <s v="CUST1025"/>
        <s v="CUST1018"/>
        <s v="CUST1013"/>
        <s v="CUST1008"/>
        <s v="CUST1055"/>
        <s v="CUST1073"/>
        <s v="CUST1034"/>
        <s v="CUST1041"/>
        <s v="CUST1014"/>
        <s v="CUST1010"/>
        <s v="CUST1047"/>
        <s v="CUST1080"/>
        <s v="CUST1053"/>
        <s v="CUST1026"/>
        <s v="CUST1004"/>
        <s v="CUST1094"/>
        <s v="CUST1006"/>
        <s v="CUST1043"/>
        <s v="CUST1038"/>
        <s v="CUST1001"/>
        <s v="CUST1057"/>
        <s v="CUST1012"/>
        <s v="CUST1079"/>
        <s v="CUST1032"/>
        <s v="CUST1060"/>
        <s v="CUST1077"/>
        <s v="CUST1096"/>
        <s v="CUST1011"/>
        <s v="CUST1003"/>
        <s v="CUST1015"/>
        <s v="CUST1100"/>
        <s v="CUST1051"/>
        <s v="CUST1044"/>
        <s v="CUST1097"/>
        <s v="CUST1007"/>
        <s v="CUST1078"/>
        <s v="CUST1071"/>
        <s v="CUST1030"/>
        <s v="CUST1076"/>
        <s v="CUST1056"/>
        <s v="CUST1024"/>
        <s v="CUST1021"/>
        <s v="CUST1085"/>
        <s v="CUST1037"/>
        <s v="CUST1033"/>
        <s v="CUST1074"/>
        <s v="CUST1068"/>
        <s v="CUST1009"/>
        <s v="CUST1005"/>
        <s v="CUST1048"/>
        <s v="CUST1019"/>
        <s v="CUST1054"/>
        <s v="CUST1093"/>
        <s v="CUST1045"/>
        <s v="CUST1042"/>
        <s v="CUST1058"/>
        <s v="CUST1081"/>
        <s v="CUST1017"/>
        <s v="CUST1061"/>
        <s v="CUST1086"/>
        <s v="CUST1023"/>
        <s v="CUST1040"/>
        <s v="CUST1082"/>
        <s v="CUST1022"/>
        <s v="CUST1075"/>
        <s v="CUST1059"/>
        <s v="CUST1039"/>
        <s v="CUST1062"/>
        <s v="CUST1052"/>
        <s v="CUST1020"/>
        <s v="CUST1098"/>
        <s v="CUST1095"/>
        <s v="CUST1046"/>
        <s v="CUST1067"/>
        <s v="CUST1027"/>
        <s v="CUST1002"/>
        <s v="CUST1066"/>
        <s v="CUST1084"/>
        <s v="CUST1092"/>
      </sharedItems>
    </cacheField>
    <cacheField name="Product" numFmtId="0">
      <sharedItems count="10">
        <s v="Smartphone"/>
        <s v="Laptop"/>
        <s v="Keyboard"/>
        <s v="Mouse"/>
        <s v="Office Chair"/>
        <s v="Shoes"/>
        <s v="Headphones"/>
        <s v="Backpack"/>
        <s v="Watch"/>
        <s v="Desk"/>
      </sharedItems>
    </cacheField>
    <cacheField name="Category" numFmtId="0">
      <sharedItems count="5">
        <s v="Electronics"/>
        <s v="Accessories"/>
        <s v="Furniture"/>
        <s v="Fashion"/>
        <s v="Bags"/>
      </sharedItems>
    </cacheField>
    <cacheField name="Region" numFmtId="0">
      <sharedItems count="4">
        <s v="North"/>
        <s v="South"/>
        <s v="West"/>
        <s v="East"/>
      </sharedItems>
    </cacheField>
    <cacheField name="Quantity" numFmtId="0">
      <sharedItems containsSemiMixedTypes="0" containsString="0" containsNumber="1" containsInteger="1" minValue="1" maxValue="5" count="5">
        <n v="1"/>
        <n v="4"/>
        <n v="2"/>
        <n v="5"/>
        <n v="3"/>
      </sharedItems>
    </cacheField>
    <cacheField name="Unit_Price" numFmtId="0">
      <sharedItems containsSemiMixedTypes="0" containsString="0" containsNumber="1" minValue="810.32" maxValue="60160.12"/>
    </cacheField>
    <cacheField name="Discount" numFmtId="0">
      <sharedItems containsSemiMixedTypes="0" containsString="0" containsNumber="1" minValue="0" maxValue="0.2" count="5">
        <n v="0.1"/>
        <n v="0"/>
        <n v="0.2"/>
        <n v="0.05"/>
        <n v="0.15"/>
      </sharedItems>
    </cacheField>
    <cacheField name="Cost" numFmtId="0">
      <sharedItems containsSemiMixedTypes="0" containsString="0" containsNumber="1" minValue="702.29" maxValue="189850.2"/>
    </cacheField>
    <cacheField name="Sales" numFmtId="0">
      <sharedItems containsSemiMixedTypes="0" containsString="0" containsNumber="1" minValue="971.51" maxValue="271304.55" count="500">
        <n v="18372.57"/>
        <n v="55058.91"/>
        <n v="6185.44"/>
        <n v="1654.12"/>
        <n v="40007.43"/>
        <n v="7467.48"/>
        <n v="5795.79"/>
        <n v="6435.42"/>
        <n v="5800.26"/>
        <n v="107825.62"/>
        <n v="5678.92"/>
        <n v="17812.009999999998"/>
        <n v="41149.25"/>
        <n v="6929.64"/>
        <n v="50526.41"/>
        <n v="3509.2"/>
        <n v="1936.34"/>
        <n v="4784.42"/>
        <n v="9186.8799999999992"/>
        <n v="16414.169999999998"/>
        <n v="207689.56"/>
        <n v="18762.5"/>
        <n v="19021.64"/>
        <n v="17781.12"/>
        <n v="18291.810000000001"/>
        <n v="3129.57"/>
        <n v="41644.160000000003"/>
        <n v="209291.11"/>
        <n v="5211.22"/>
        <n v="250239.66"/>
        <n v="104174.5"/>
        <n v="3874.89"/>
        <n v="4723.57"/>
        <n v="6585.48"/>
        <n v="7522.26"/>
        <n v="8897.85"/>
        <n v="4021.59"/>
        <n v="42487.21"/>
        <n v="8097.44"/>
        <n v="31466.639999999999"/>
        <n v="3643.12"/>
        <n v="4451.08"/>
        <n v="2277.41"/>
        <n v="1605.04"/>
        <n v="38607.93"/>
        <n v="11467.31"/>
        <n v="22844.65"/>
        <n v="13892.7"/>
        <n v="3909.2"/>
        <n v="23716.67"/>
        <n v="5555.23"/>
        <n v="2309.8200000000002"/>
        <n v="3245.47"/>
        <n v="30158.560000000001"/>
        <n v="91257.19"/>
        <n v="86401.89"/>
        <n v="19308.09"/>
        <n v="1626.89"/>
        <n v="60439.15"/>
        <n v="6243.86"/>
        <n v="98545.18"/>
        <n v="158997.41"/>
        <n v="4487.97"/>
        <n v="3114.38"/>
        <n v="10519.94"/>
        <n v="32631.37"/>
        <n v="2631.53"/>
        <n v="1332.35"/>
        <n v="2802.89"/>
        <n v="111667.55"/>
        <n v="8642.84"/>
        <n v="33010.730000000003"/>
        <n v="1571.49"/>
        <n v="12194.15"/>
        <n v="16832.72"/>
        <n v="186599.95"/>
        <n v="2347.83"/>
        <n v="6799.08"/>
        <n v="7915.16"/>
        <n v="2537.54"/>
        <n v="7097.69"/>
        <n v="4927.1400000000003"/>
        <n v="47907.99"/>
        <n v="244553.22"/>
        <n v="18988.060000000001"/>
        <n v="12469.83"/>
        <n v="7115.08"/>
        <n v="3017.77"/>
        <n v="185874.74"/>
        <n v="1808.44"/>
        <n v="113035.8"/>
        <n v="3556.2"/>
        <n v="3297.92"/>
        <n v="55760.76"/>
        <n v="4404.54"/>
        <n v="76365.58"/>
        <n v="4635.9799999999996"/>
        <n v="7694.52"/>
        <n v="92513.39"/>
        <n v="4222.09"/>
        <n v="7718.39"/>
        <n v="1784.08"/>
        <n v="6353.87"/>
        <n v="3245"/>
        <n v="7731.9"/>
        <n v="3085.06"/>
        <n v="22412.89"/>
        <n v="1300.42"/>
        <n v="4760.34"/>
        <n v="8522.6"/>
        <n v="6752.2"/>
        <n v="2305.69"/>
        <n v="2047.89"/>
        <n v="4139.62"/>
        <n v="4719.1899999999996"/>
        <n v="5974.79"/>
        <n v="212456.66"/>
        <n v="7598.03"/>
        <n v="136459.35"/>
        <n v="12447.34"/>
        <n v="3135.49"/>
        <n v="6094.88"/>
        <n v="20965.27"/>
        <n v="224843.6"/>
        <n v="5603.46"/>
        <n v="5625.49"/>
        <n v="6010.15"/>
        <n v="6291.93"/>
        <n v="20188.57"/>
        <n v="165746.76999999999"/>
        <n v="5228.47"/>
        <n v="2429.12"/>
        <n v="7381.44"/>
        <n v="4278.53"/>
        <n v="1925.03"/>
        <n v="1673.4"/>
        <n v="20676.96"/>
        <n v="26317.43"/>
        <n v="16330.76"/>
        <n v="85758.6"/>
        <n v="86187.49"/>
        <n v="12168.01"/>
        <n v="55573.1"/>
        <n v="14047.29"/>
        <n v="3655.66"/>
        <n v="21525.64"/>
        <n v="3665.26"/>
        <n v="16080.13"/>
        <n v="3678.46"/>
        <n v="5401.03"/>
        <n v="6884.57"/>
        <n v="5990.38"/>
        <n v="21318.18"/>
        <n v="89564.12"/>
        <n v="14003.71"/>
        <n v="15361.78"/>
        <n v="8941.7999999999993"/>
        <n v="10262.76"/>
        <n v="2613.66"/>
        <n v="18289.2"/>
        <n v="13138.21"/>
        <n v="93950.07"/>
        <n v="3169.48"/>
        <n v="6506.44"/>
        <n v="100533.85"/>
        <n v="4166.2299999999996"/>
        <n v="8986.11"/>
        <n v="3655.58"/>
        <n v="6713.63"/>
        <n v="187606.19"/>
        <n v="9077.73"/>
        <n v="4515.34"/>
        <n v="182262.56"/>
        <n v="5925.36"/>
        <n v="7227.9"/>
        <n v="1729.89"/>
        <n v="130118.14"/>
        <n v="18412.099999999999"/>
        <n v="1535.26"/>
        <n v="72257.919999999998"/>
        <n v="5273.49"/>
        <n v="96594.64"/>
        <n v="178843.18"/>
        <n v="12943.02"/>
        <n v="5443.6"/>
        <n v="1624.99"/>
        <n v="4420.47"/>
        <n v="31180.99"/>
        <n v="3959.38"/>
        <n v="8342.65"/>
        <n v="9408.2800000000007"/>
        <n v="49565.25"/>
        <n v="17049.599999999999"/>
        <n v="3563.94"/>
        <n v="6932.72"/>
        <n v="8098.69"/>
        <n v="8907.7999999999993"/>
        <n v="3250.03"/>
        <n v="15411.91"/>
        <n v="6773.84"/>
        <n v="15791.09"/>
        <n v="3224.73"/>
        <n v="72473.960000000006"/>
        <n v="32617.65"/>
        <n v="4618.8999999999996"/>
        <n v="3701.52"/>
        <n v="20507.669999999998"/>
        <n v="6931.32"/>
        <n v="2798.66"/>
        <n v="6352.54"/>
        <n v="5782.94"/>
        <n v="3920.68"/>
        <n v="35643.96"/>
        <n v="1801.96"/>
        <n v="149866.94"/>
        <n v="87403.95"/>
        <n v="222341.8"/>
        <n v="20685.05"/>
        <n v="6537.96"/>
        <n v="12197.7"/>
        <n v="29292.799999999999"/>
        <n v="1493.51"/>
        <n v="17116.599999999999"/>
        <n v="17856.43"/>
        <n v="4115.7"/>
        <n v="14241.5"/>
        <n v="7856.04"/>
        <n v="3631.07"/>
        <n v="1483.73"/>
        <n v="17738.169999999998"/>
        <n v="3263.46"/>
        <n v="80093.48"/>
        <n v="72872.639999999999"/>
        <n v="6548.96"/>
        <n v="7704.48"/>
        <n v="196312.74"/>
        <n v="21757.7"/>
        <n v="10627.52"/>
        <n v="2280.5"/>
        <n v="8823.15"/>
        <n v="147367.87"/>
        <n v="16882.34"/>
        <n v="2357.5700000000002"/>
        <n v="29293.51"/>
        <n v="9375.9699999999993"/>
        <n v="22890.44"/>
        <n v="92629.18"/>
        <n v="11280.28"/>
        <n v="199630.07999999999"/>
        <n v="3601.83"/>
        <n v="6688.11"/>
        <n v="11109.2"/>
        <n v="8144.74"/>
        <n v="1857.68"/>
        <n v="1780.72"/>
        <n v="176425.86"/>
        <n v="11172.67"/>
        <n v="4962.32"/>
        <n v="13930.48"/>
        <n v="12295.33"/>
        <n v="10935.56"/>
        <n v="4698.1400000000003"/>
        <n v="143136.95999999999"/>
        <n v="4388.8999999999996"/>
        <n v="8104.26"/>
        <n v="7872.62"/>
        <n v="13909.9"/>
        <n v="3540.64"/>
        <n v="31829.7"/>
        <n v="6637.76"/>
        <n v="2737.51"/>
        <n v="4509.1400000000003"/>
        <n v="17272.68"/>
        <n v="236941.06"/>
        <n v="16515.599999999999"/>
        <n v="5802.03"/>
        <n v="21459.55"/>
        <n v="72275.81"/>
        <n v="8298.98"/>
        <n v="8482.39"/>
        <n v="12704.92"/>
        <n v="1938.34"/>
        <n v="33297.599999999999"/>
        <n v="3159.27"/>
        <n v="11752.92"/>
        <n v="27759.09"/>
        <n v="2402.0700000000002"/>
        <n v="53835.34"/>
        <n v="26309.599999999999"/>
        <n v="4493.8100000000004"/>
        <n v="16114.62"/>
        <n v="1863.5"/>
        <n v="4920.0200000000004"/>
        <n v="8360.7999999999993"/>
        <n v="29944.76"/>
        <n v="2562.04"/>
        <n v="3342.82"/>
        <n v="14419.04"/>
        <n v="15194.35"/>
        <n v="15974.68"/>
        <n v="12992.6"/>
        <n v="19342.52"/>
        <n v="39246.230000000003"/>
        <n v="1515.45"/>
        <n v="153923.70000000001"/>
        <n v="34187.64"/>
        <n v="27992.12"/>
        <n v="108758.58"/>
        <n v="23073.599999999999"/>
        <n v="13973.73"/>
        <n v="21659.35"/>
        <n v="13862.27"/>
        <n v="8532.2800000000007"/>
        <n v="4037.53"/>
        <n v="5609.18"/>
        <n v="146348.35999999999"/>
        <n v="4311.8500000000004"/>
        <n v="5799.12"/>
        <n v="2966.73"/>
        <n v="12619.61"/>
        <n v="22247.34"/>
        <n v="10734.08"/>
        <n v="7376.14"/>
        <n v="27976.639999999999"/>
        <n v="6958.12"/>
        <n v="92184.33"/>
        <n v="2188.58"/>
        <n v="94294.68"/>
        <n v="3520.4"/>
        <n v="64275.08"/>
        <n v="20142.93"/>
        <n v="162436.35"/>
        <n v="6327.83"/>
        <n v="2044.13"/>
        <n v="8575.94"/>
        <n v="15598.98"/>
        <n v="7354.92"/>
        <n v="12522.88"/>
        <n v="6291"/>
        <n v="8074.18"/>
        <n v="259365.85"/>
        <n v="26195.8"/>
        <n v="97297.38"/>
        <n v="14104.04"/>
        <n v="2600.75"/>
        <n v="7657.18"/>
        <n v="16262.45"/>
        <n v="8682.16"/>
        <n v="110194.15"/>
        <n v="4295.3"/>
        <n v="13929.61"/>
        <n v="3049.59"/>
        <n v="2408.9699999999998"/>
        <n v="8371.94"/>
        <n v="213242.64"/>
        <n v="21384.15"/>
        <n v="971.51"/>
        <n v="113018.75"/>
        <n v="4333.5"/>
        <n v="4824.99"/>
        <n v="7855.26"/>
        <n v="2974.61"/>
        <n v="18592.560000000001"/>
        <n v="1927.66"/>
        <n v="1560.09"/>
        <n v="7367.7"/>
        <n v="3837.14"/>
        <n v="91949.98"/>
        <n v="6804.35"/>
        <n v="3047.18"/>
        <n v="11427.7"/>
        <n v="7750.43"/>
        <n v="142448.18"/>
        <n v="8818.24"/>
        <n v="17792.599999999999"/>
        <n v="41239.300000000003"/>
        <n v="7351.52"/>
        <n v="13092.2"/>
        <n v="56610"/>
        <n v="26121.599999999999"/>
        <n v="14766.46"/>
        <n v="2309.41"/>
        <n v="12301.97"/>
        <n v="8223.57"/>
        <n v="1682.59"/>
        <n v="204544.41"/>
        <n v="13539.16"/>
        <n v="1734.74"/>
        <n v="14035.12"/>
        <n v="9686.77"/>
        <n v="24863.919999999998"/>
        <n v="18592.689999999999"/>
        <n v="1849.75"/>
        <n v="21061.33"/>
        <n v="27813.06"/>
        <n v="4676.8"/>
        <n v="7037.44"/>
        <n v="5782.26"/>
        <n v="3630.99"/>
        <n v="11751.97"/>
        <n v="9360.85"/>
        <n v="12554.21"/>
        <n v="8412.6"/>
        <n v="6513.54"/>
        <n v="18430.84"/>
        <n v="2379.84"/>
        <n v="19894.560000000001"/>
        <n v="8945.2199999999993"/>
        <n v="17200.599999999999"/>
        <n v="1546.77"/>
        <n v="97932.85"/>
        <n v="7329.84"/>
        <n v="3248.6"/>
        <n v="12770.85"/>
        <n v="16464.61"/>
        <n v="252141.75"/>
        <n v="63694.51"/>
        <n v="12600.37"/>
        <n v="194775.19"/>
        <n v="13534"/>
        <n v="5331.38"/>
        <n v="42541.74"/>
        <n v="11407.37"/>
        <n v="8787"/>
        <n v="4562.46"/>
        <n v="74080.91"/>
        <n v="1593.19"/>
        <n v="20056.740000000002"/>
        <n v="36370.800000000003"/>
        <n v="2042.6"/>
        <n v="7104.48"/>
        <n v="17500.810000000001"/>
        <n v="4668.9799999999996"/>
        <n v="3956.16"/>
        <n v="75507.34"/>
        <n v="144807.64000000001"/>
        <n v="81206.64"/>
        <n v="4197.8599999999997"/>
        <n v="5306.1"/>
        <n v="101228.4"/>
        <n v="2438.7399999999998"/>
        <n v="7007.38"/>
        <n v="28467.9"/>
        <n v="21594.86"/>
        <n v="2570.33"/>
        <n v="17374.75"/>
        <n v="26805.88"/>
        <n v="13214"/>
        <n v="10286.799999999999"/>
        <n v="2053.13"/>
        <n v="13783.28"/>
        <n v="6528.18"/>
        <n v="94865.96"/>
        <n v="7803.63"/>
        <n v="1699.83"/>
        <n v="22245.29"/>
        <n v="1629.31"/>
        <n v="5607.42"/>
        <n v="271304.55"/>
        <n v="2170.12"/>
        <n v="7845.43"/>
        <n v="27047.759999999998"/>
        <n v="8782.34"/>
        <n v="53545.94"/>
        <n v="5076.1000000000004"/>
        <n v="1505.45"/>
        <n v="2651.03"/>
        <n v="7366.1"/>
        <n v="3009.98"/>
        <n v="4757.6899999999996"/>
        <n v="183350.63"/>
        <n v="3472.3"/>
        <n v="21091.1"/>
        <n v="5334.92"/>
        <n v="24109.68"/>
        <n v="33034.5"/>
        <n v="5772.49"/>
        <n v="1520.37"/>
        <n v="15074.5"/>
        <n v="37865.599999999999"/>
        <n v="181100.63"/>
        <n v="3001.52"/>
        <n v="2685.93"/>
        <n v="2765.57"/>
        <n v="5215.46"/>
        <n v="2729.73"/>
        <n v="16794.55"/>
        <n v="4515.1000000000004"/>
        <n v="2736.4"/>
        <n v="16536.04"/>
        <n v="35590.82"/>
        <n v="2124.6799999999998"/>
        <n v="6194.89"/>
        <n v="3758.4"/>
        <n v="18700.5"/>
        <n v="7740.94"/>
        <n v="9965.2800000000007"/>
        <n v="45457.85"/>
        <n v="3465.01"/>
        <n v="89093.48"/>
      </sharedItems>
    </cacheField>
    <cacheField name="Profit" numFmtId="0">
      <sharedItems containsSemiMixedTypes="0" containsString="0" containsNumber="1" minValue="-605.72" maxValue="107167.55"/>
    </cacheField>
    <cacheField name="Payment_Mode" numFmtId="0">
      <sharedItems count="4">
        <s v="Cash on Delivery"/>
        <s v="Debit Card"/>
        <s v="UPI"/>
        <s v="Credit Card"/>
      </sharedItems>
    </cacheField>
    <cacheField name="Days (Order_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x v="0"/>
    <x v="0"/>
    <x v="0"/>
    <x v="0"/>
    <x v="0"/>
    <x v="0"/>
    <n v="20413.97"/>
    <x v="0"/>
    <n v="13446.91"/>
    <x v="0"/>
    <n v="4925.66"/>
    <x v="0"/>
  </r>
  <r>
    <s v="ORD0002"/>
    <x v="1"/>
    <x v="1"/>
    <x v="1"/>
    <x v="0"/>
    <x v="1"/>
    <x v="0"/>
    <n v="55058.91"/>
    <x v="1"/>
    <n v="33256.269999999997"/>
    <x v="1"/>
    <n v="21802.639999999999"/>
    <x v="0"/>
  </r>
  <r>
    <s v="ORD0003"/>
    <x v="2"/>
    <x v="2"/>
    <x v="2"/>
    <x v="1"/>
    <x v="2"/>
    <x v="1"/>
    <n v="1932.95"/>
    <x v="2"/>
    <n v="4460.76"/>
    <x v="2"/>
    <n v="1724.68"/>
    <x v="1"/>
  </r>
  <r>
    <s v="ORD0004"/>
    <x v="3"/>
    <x v="3"/>
    <x v="3"/>
    <x v="1"/>
    <x v="0"/>
    <x v="2"/>
    <n v="870.59"/>
    <x v="3"/>
    <n v="1420.74"/>
    <x v="3"/>
    <n v="233.38"/>
    <x v="1"/>
  </r>
  <r>
    <s v="ORD0005"/>
    <x v="4"/>
    <x v="4"/>
    <x v="4"/>
    <x v="2"/>
    <x v="2"/>
    <x v="3"/>
    <n v="8890.5400000000009"/>
    <x v="0"/>
    <n v="31950.75"/>
    <x v="4"/>
    <n v="8056.68"/>
    <x v="2"/>
  </r>
  <r>
    <s v="ORD0006"/>
    <x v="5"/>
    <x v="5"/>
    <x v="5"/>
    <x v="3"/>
    <x v="0"/>
    <x v="4"/>
    <n v="3111.45"/>
    <x v="2"/>
    <n v="7405.08"/>
    <x v="5"/>
    <n v="62.4"/>
    <x v="2"/>
  </r>
  <r>
    <s v="ORD0007"/>
    <x v="6"/>
    <x v="6"/>
    <x v="2"/>
    <x v="1"/>
    <x v="2"/>
    <x v="4"/>
    <n v="1931.93"/>
    <x v="1"/>
    <n v="4124.67"/>
    <x v="6"/>
    <n v="1671.12"/>
    <x v="1"/>
  </r>
  <r>
    <s v="ORD0008"/>
    <x v="7"/>
    <x v="7"/>
    <x v="6"/>
    <x v="0"/>
    <x v="0"/>
    <x v="4"/>
    <n v="2383.4899999999998"/>
    <x v="0"/>
    <n v="4517.82"/>
    <x v="7"/>
    <n v="1917.6"/>
    <x v="3"/>
  </r>
  <r>
    <s v="ORD0009"/>
    <x v="8"/>
    <x v="8"/>
    <x v="5"/>
    <x v="3"/>
    <x v="1"/>
    <x v="2"/>
    <n v="3052.77"/>
    <x v="3"/>
    <n v="4259.62"/>
    <x v="8"/>
    <n v="1540.64"/>
    <x v="1"/>
  </r>
  <r>
    <s v="ORD0010"/>
    <x v="9"/>
    <x v="9"/>
    <x v="1"/>
    <x v="0"/>
    <x v="3"/>
    <x v="2"/>
    <n v="53912.81"/>
    <x v="1"/>
    <n v="82638.759999999995"/>
    <x v="9"/>
    <n v="25186.86"/>
    <x v="3"/>
  </r>
  <r>
    <s v="ORD0011"/>
    <x v="10"/>
    <x v="10"/>
    <x v="7"/>
    <x v="4"/>
    <x v="3"/>
    <x v="1"/>
    <n v="1670.27"/>
    <x v="4"/>
    <n v="4217.16"/>
    <x v="10"/>
    <n v="1461.76"/>
    <x v="0"/>
  </r>
  <r>
    <s v="ORD0012"/>
    <x v="11"/>
    <x v="11"/>
    <x v="8"/>
    <x v="3"/>
    <x v="0"/>
    <x v="1"/>
    <n v="4947.78"/>
    <x v="0"/>
    <n v="10886.96"/>
    <x v="11"/>
    <n v="6925.05"/>
    <x v="2"/>
  </r>
  <r>
    <s v="ORD0013"/>
    <x v="12"/>
    <x v="12"/>
    <x v="0"/>
    <x v="0"/>
    <x v="2"/>
    <x v="2"/>
    <n v="21657.5"/>
    <x v="3"/>
    <n v="32912.879999999997"/>
    <x v="12"/>
    <n v="8236.3700000000008"/>
    <x v="0"/>
  </r>
  <r>
    <s v="ORD0014"/>
    <x v="13"/>
    <x v="13"/>
    <x v="5"/>
    <x v="3"/>
    <x v="3"/>
    <x v="4"/>
    <n v="2887.35"/>
    <x v="2"/>
    <n v="7345.86"/>
    <x v="13"/>
    <n v="-416.22"/>
    <x v="1"/>
  </r>
  <r>
    <s v="ORD0015"/>
    <x v="14"/>
    <x v="14"/>
    <x v="0"/>
    <x v="0"/>
    <x v="1"/>
    <x v="4"/>
    <n v="19814.28"/>
    <x v="4"/>
    <n v="38909.61"/>
    <x v="14"/>
    <n v="11616.8"/>
    <x v="2"/>
  </r>
  <r>
    <s v="ORD0016"/>
    <x v="15"/>
    <x v="15"/>
    <x v="3"/>
    <x v="1"/>
    <x v="0"/>
    <x v="3"/>
    <n v="877.3"/>
    <x v="2"/>
    <n v="2698.75"/>
    <x v="15"/>
    <n v="810.45"/>
    <x v="1"/>
  </r>
  <r>
    <s v="ORD0017"/>
    <x v="16"/>
    <x v="16"/>
    <x v="7"/>
    <x v="4"/>
    <x v="0"/>
    <x v="0"/>
    <n v="1936.34"/>
    <x v="1"/>
    <n v="1408.09"/>
    <x v="16"/>
    <n v="528.25"/>
    <x v="3"/>
  </r>
  <r>
    <s v="ORD0018"/>
    <x v="17"/>
    <x v="17"/>
    <x v="8"/>
    <x v="3"/>
    <x v="1"/>
    <x v="0"/>
    <n v="4784.42"/>
    <x v="1"/>
    <n v="3298.4"/>
    <x v="17"/>
    <n v="1486.02"/>
    <x v="3"/>
  </r>
  <r>
    <s v="ORD0019"/>
    <x v="18"/>
    <x v="9"/>
    <x v="7"/>
    <x v="4"/>
    <x v="1"/>
    <x v="3"/>
    <n v="1934.08"/>
    <x v="3"/>
    <n v="5546.4"/>
    <x v="18"/>
    <n v="3640.48"/>
    <x v="1"/>
  </r>
  <r>
    <s v="ORD0020"/>
    <x v="19"/>
    <x v="18"/>
    <x v="9"/>
    <x v="2"/>
    <x v="0"/>
    <x v="4"/>
    <n v="6436.93"/>
    <x v="4"/>
    <n v="15110.61"/>
    <x v="19"/>
    <n v="1303.56"/>
    <x v="1"/>
  </r>
  <r>
    <s v="ORD0021"/>
    <x v="20"/>
    <x v="5"/>
    <x v="1"/>
    <x v="0"/>
    <x v="0"/>
    <x v="3"/>
    <n v="51922.39"/>
    <x v="2"/>
    <n v="167070.39999999999"/>
    <x v="20"/>
    <n v="40619.160000000003"/>
    <x v="3"/>
  </r>
  <r>
    <s v="ORD0022"/>
    <x v="21"/>
    <x v="19"/>
    <x v="0"/>
    <x v="0"/>
    <x v="1"/>
    <x v="0"/>
    <n v="20847.22"/>
    <x v="0"/>
    <n v="12489.72"/>
    <x v="21"/>
    <n v="6272.78"/>
    <x v="3"/>
  </r>
  <r>
    <s v="ORD0023"/>
    <x v="22"/>
    <x v="20"/>
    <x v="8"/>
    <x v="3"/>
    <x v="0"/>
    <x v="3"/>
    <n v="4475.68"/>
    <x v="4"/>
    <n v="13741.85"/>
    <x v="22"/>
    <n v="5279.79"/>
    <x v="2"/>
  </r>
  <r>
    <s v="ORD0024"/>
    <x v="23"/>
    <x v="0"/>
    <x v="9"/>
    <x v="2"/>
    <x v="0"/>
    <x v="4"/>
    <n v="6972.99"/>
    <x v="4"/>
    <n v="12729.12"/>
    <x v="23"/>
    <n v="5052"/>
    <x v="2"/>
  </r>
  <r>
    <s v="ORD0025"/>
    <x v="24"/>
    <x v="21"/>
    <x v="9"/>
    <x v="2"/>
    <x v="2"/>
    <x v="4"/>
    <n v="6097.27"/>
    <x v="1"/>
    <n v="11937.21"/>
    <x v="24"/>
    <n v="6354.6"/>
    <x v="3"/>
  </r>
  <r>
    <s v="ORD0026"/>
    <x v="25"/>
    <x v="22"/>
    <x v="3"/>
    <x v="1"/>
    <x v="0"/>
    <x v="1"/>
    <n v="823.57"/>
    <x v="3"/>
    <n v="2767.04"/>
    <x v="25"/>
    <n v="362.53"/>
    <x v="2"/>
  </r>
  <r>
    <s v="ORD0027"/>
    <x v="26"/>
    <x v="23"/>
    <x v="0"/>
    <x v="0"/>
    <x v="1"/>
    <x v="2"/>
    <n v="21917.98"/>
    <x v="3"/>
    <n v="28670.560000000001"/>
    <x v="26"/>
    <n v="12973.6"/>
    <x v="0"/>
  </r>
  <r>
    <s v="ORD0028"/>
    <x v="27"/>
    <x v="24"/>
    <x v="1"/>
    <x v="0"/>
    <x v="2"/>
    <x v="1"/>
    <n v="58136.42"/>
    <x v="0"/>
    <n v="171958.48"/>
    <x v="27"/>
    <n v="37332.629999999997"/>
    <x v="3"/>
  </r>
  <r>
    <s v="ORD0029"/>
    <x v="28"/>
    <x v="23"/>
    <x v="2"/>
    <x v="1"/>
    <x v="3"/>
    <x v="4"/>
    <n v="1828.5"/>
    <x v="3"/>
    <n v="4277.76"/>
    <x v="28"/>
    <n v="933.46"/>
    <x v="2"/>
  </r>
  <r>
    <s v="ORD0030"/>
    <x v="29"/>
    <x v="23"/>
    <x v="1"/>
    <x v="0"/>
    <x v="0"/>
    <x v="3"/>
    <n v="58879.92"/>
    <x v="4"/>
    <n v="185820.95"/>
    <x v="29"/>
    <n v="64418.71"/>
    <x v="3"/>
  </r>
  <r>
    <s v="ORD0031"/>
    <x v="30"/>
    <x v="25"/>
    <x v="0"/>
    <x v="0"/>
    <x v="1"/>
    <x v="3"/>
    <n v="20834.900000000001"/>
    <x v="1"/>
    <n v="79068.350000000006"/>
    <x v="30"/>
    <n v="25106.15"/>
    <x v="2"/>
  </r>
  <r>
    <s v="ORD0032"/>
    <x v="31"/>
    <x v="26"/>
    <x v="8"/>
    <x v="3"/>
    <x v="1"/>
    <x v="0"/>
    <n v="4558.7"/>
    <x v="4"/>
    <n v="3214.54"/>
    <x v="31"/>
    <n v="660.35"/>
    <x v="1"/>
  </r>
  <r>
    <s v="ORD0033"/>
    <x v="32"/>
    <x v="27"/>
    <x v="2"/>
    <x v="1"/>
    <x v="0"/>
    <x v="4"/>
    <n v="1852.38"/>
    <x v="4"/>
    <n v="3146.7"/>
    <x v="32"/>
    <n v="1576.87"/>
    <x v="2"/>
  </r>
  <r>
    <s v="ORD0034"/>
    <x v="33"/>
    <x v="14"/>
    <x v="7"/>
    <x v="4"/>
    <x v="3"/>
    <x v="3"/>
    <n v="1646.37"/>
    <x v="2"/>
    <n v="7191.2"/>
    <x v="33"/>
    <n v="-605.72"/>
    <x v="3"/>
  </r>
  <r>
    <s v="ORD0035"/>
    <x v="34"/>
    <x v="5"/>
    <x v="4"/>
    <x v="2"/>
    <x v="3"/>
    <x v="0"/>
    <n v="7918.17"/>
    <x v="3"/>
    <n v="5460.25"/>
    <x v="34"/>
    <n v="2062.0100000000002"/>
    <x v="2"/>
  </r>
  <r>
    <s v="ORD0036"/>
    <x v="35"/>
    <x v="28"/>
    <x v="5"/>
    <x v="3"/>
    <x v="1"/>
    <x v="4"/>
    <n v="2965.95"/>
    <x v="1"/>
    <n v="7533.42"/>
    <x v="35"/>
    <n v="1364.43"/>
    <x v="1"/>
  </r>
  <r>
    <s v="ORD0037"/>
    <x v="36"/>
    <x v="26"/>
    <x v="3"/>
    <x v="1"/>
    <x v="2"/>
    <x v="3"/>
    <n v="846.65"/>
    <x v="3"/>
    <n v="3282.3"/>
    <x v="36"/>
    <n v="739.29"/>
    <x v="1"/>
  </r>
  <r>
    <s v="ORD0038"/>
    <x v="37"/>
    <x v="17"/>
    <x v="1"/>
    <x v="0"/>
    <x v="1"/>
    <x v="0"/>
    <n v="49984.95"/>
    <x v="4"/>
    <n v="41653.54"/>
    <x v="37"/>
    <n v="833.67"/>
    <x v="1"/>
  </r>
  <r>
    <s v="ORD0039"/>
    <x v="38"/>
    <x v="29"/>
    <x v="6"/>
    <x v="0"/>
    <x v="1"/>
    <x v="1"/>
    <n v="2530.4499999999998"/>
    <x v="2"/>
    <n v="7264.16"/>
    <x v="38"/>
    <n v="833.28"/>
    <x v="2"/>
  </r>
  <r>
    <s v="ORD0040"/>
    <x v="16"/>
    <x v="30"/>
    <x v="4"/>
    <x v="2"/>
    <x v="0"/>
    <x v="3"/>
    <n v="7866.66"/>
    <x v="2"/>
    <n v="24948.5"/>
    <x v="39"/>
    <n v="6518.14"/>
    <x v="1"/>
  </r>
  <r>
    <s v="ORD0041"/>
    <x v="22"/>
    <x v="31"/>
    <x v="2"/>
    <x v="1"/>
    <x v="1"/>
    <x v="2"/>
    <n v="1821.56"/>
    <x v="1"/>
    <n v="2298.3200000000002"/>
    <x v="40"/>
    <n v="1344.8"/>
    <x v="3"/>
  </r>
  <r>
    <s v="ORD0042"/>
    <x v="37"/>
    <x v="32"/>
    <x v="6"/>
    <x v="0"/>
    <x v="1"/>
    <x v="2"/>
    <n v="2618.2800000000002"/>
    <x v="4"/>
    <n v="2780.98"/>
    <x v="41"/>
    <n v="1670.1"/>
    <x v="1"/>
  </r>
  <r>
    <s v="ORD0043"/>
    <x v="39"/>
    <x v="33"/>
    <x v="6"/>
    <x v="0"/>
    <x v="2"/>
    <x v="0"/>
    <n v="2679.3"/>
    <x v="4"/>
    <n v="1920.1"/>
    <x v="42"/>
    <n v="357.31"/>
    <x v="1"/>
  </r>
  <r>
    <s v="ORD0044"/>
    <x v="40"/>
    <x v="6"/>
    <x v="3"/>
    <x v="1"/>
    <x v="0"/>
    <x v="2"/>
    <n v="844.76"/>
    <x v="3"/>
    <n v="1000.64"/>
    <x v="43"/>
    <n v="604.4"/>
    <x v="1"/>
  </r>
  <r>
    <s v="ORD0045"/>
    <x v="41"/>
    <x v="34"/>
    <x v="4"/>
    <x v="2"/>
    <x v="0"/>
    <x v="3"/>
    <n v="9084.2199999999993"/>
    <x v="4"/>
    <n v="30594.9"/>
    <x v="44"/>
    <n v="8013.03"/>
    <x v="1"/>
  </r>
  <r>
    <s v="ORD0046"/>
    <x v="42"/>
    <x v="35"/>
    <x v="6"/>
    <x v="0"/>
    <x v="3"/>
    <x v="3"/>
    <n v="2548.29"/>
    <x v="0"/>
    <n v="6994.55"/>
    <x v="45"/>
    <n v="4472.76"/>
    <x v="0"/>
  </r>
  <r>
    <s v="ORD0047"/>
    <x v="43"/>
    <x v="36"/>
    <x v="8"/>
    <x v="3"/>
    <x v="2"/>
    <x v="3"/>
    <n v="4568.93"/>
    <x v="1"/>
    <n v="14541.7"/>
    <x v="46"/>
    <n v="8302.9500000000007"/>
    <x v="2"/>
  </r>
  <r>
    <s v="ORD0048"/>
    <x v="44"/>
    <x v="37"/>
    <x v="5"/>
    <x v="3"/>
    <x v="3"/>
    <x v="3"/>
    <n v="2924.78"/>
    <x v="3"/>
    <n v="10256.9"/>
    <x v="47"/>
    <n v="3635.8"/>
    <x v="2"/>
  </r>
  <r>
    <s v="ORD0049"/>
    <x v="45"/>
    <x v="38"/>
    <x v="3"/>
    <x v="1"/>
    <x v="1"/>
    <x v="3"/>
    <n v="868.71"/>
    <x v="0"/>
    <n v="3225.25"/>
    <x v="48"/>
    <n v="683.95"/>
    <x v="3"/>
  </r>
  <r>
    <s v="ORD0050"/>
    <x v="46"/>
    <x v="39"/>
    <x v="9"/>
    <x v="2"/>
    <x v="3"/>
    <x v="1"/>
    <n v="6241.23"/>
    <x v="3"/>
    <n v="18300.84"/>
    <x v="49"/>
    <n v="5415.83"/>
    <x v="1"/>
  </r>
  <r>
    <s v="ORD0051"/>
    <x v="47"/>
    <x v="40"/>
    <x v="2"/>
    <x v="1"/>
    <x v="1"/>
    <x v="1"/>
    <n v="1736.01"/>
    <x v="2"/>
    <n v="5052"/>
    <x v="50"/>
    <n v="503.23"/>
    <x v="0"/>
  </r>
  <r>
    <s v="ORD0052"/>
    <x v="48"/>
    <x v="41"/>
    <x v="6"/>
    <x v="0"/>
    <x v="1"/>
    <x v="0"/>
    <n v="2566.4699999999998"/>
    <x v="0"/>
    <n v="1697.16"/>
    <x v="51"/>
    <n v="612.66"/>
    <x v="1"/>
  </r>
  <r>
    <s v="ORD0053"/>
    <x v="49"/>
    <x v="42"/>
    <x v="2"/>
    <x v="1"/>
    <x v="0"/>
    <x v="2"/>
    <n v="1708.14"/>
    <x v="3"/>
    <n v="2001.98"/>
    <x v="52"/>
    <n v="1243.49"/>
    <x v="0"/>
  </r>
  <r>
    <s v="ORD0054"/>
    <x v="50"/>
    <x v="43"/>
    <x v="9"/>
    <x v="2"/>
    <x v="1"/>
    <x v="3"/>
    <n v="6349.17"/>
    <x v="3"/>
    <n v="23711.55"/>
    <x v="53"/>
    <n v="6447.01"/>
    <x v="2"/>
  </r>
  <r>
    <s v="ORD0055"/>
    <x v="51"/>
    <x v="44"/>
    <x v="0"/>
    <x v="0"/>
    <x v="0"/>
    <x v="1"/>
    <n v="24015.05"/>
    <x v="3"/>
    <n v="52269.52"/>
    <x v="54"/>
    <n v="38987.67"/>
    <x v="3"/>
  </r>
  <r>
    <s v="ORD0056"/>
    <x v="52"/>
    <x v="45"/>
    <x v="0"/>
    <x v="0"/>
    <x v="3"/>
    <x v="1"/>
    <n v="22737.34"/>
    <x v="3"/>
    <n v="66031.16"/>
    <x v="55"/>
    <n v="20370.73"/>
    <x v="0"/>
  </r>
  <r>
    <s v="ORD0057"/>
    <x v="2"/>
    <x v="46"/>
    <x v="8"/>
    <x v="3"/>
    <x v="2"/>
    <x v="3"/>
    <n v="4543.08"/>
    <x v="4"/>
    <n v="17046.95"/>
    <x v="56"/>
    <n v="2261.14"/>
    <x v="0"/>
  </r>
  <r>
    <s v="ORD0058"/>
    <x v="53"/>
    <x v="16"/>
    <x v="3"/>
    <x v="1"/>
    <x v="3"/>
    <x v="2"/>
    <n v="903.83"/>
    <x v="0"/>
    <n v="1334.62"/>
    <x v="57"/>
    <n v="292.27"/>
    <x v="0"/>
  </r>
  <r>
    <s v="ORD0059"/>
    <x v="54"/>
    <x v="47"/>
    <x v="0"/>
    <x v="0"/>
    <x v="1"/>
    <x v="4"/>
    <n v="21206.720000000001"/>
    <x v="3"/>
    <n v="40783.29"/>
    <x v="58"/>
    <n v="19655.86"/>
    <x v="3"/>
  </r>
  <r>
    <s v="ORD0060"/>
    <x v="22"/>
    <x v="37"/>
    <x v="2"/>
    <x v="1"/>
    <x v="2"/>
    <x v="1"/>
    <n v="1643.12"/>
    <x v="3"/>
    <n v="5231.5600000000004"/>
    <x v="59"/>
    <n v="1012.3"/>
    <x v="0"/>
  </r>
  <r>
    <s v="ORD0061"/>
    <x v="45"/>
    <x v="48"/>
    <x v="1"/>
    <x v="0"/>
    <x v="2"/>
    <x v="2"/>
    <n v="57967.75"/>
    <x v="4"/>
    <n v="71210.62"/>
    <x v="60"/>
    <n v="27334.560000000001"/>
    <x v="0"/>
  </r>
  <r>
    <s v="ORD0062"/>
    <x v="55"/>
    <x v="10"/>
    <x v="1"/>
    <x v="0"/>
    <x v="1"/>
    <x v="4"/>
    <n v="58887.93"/>
    <x v="0"/>
    <n v="121830.84"/>
    <x v="61"/>
    <n v="37166.57"/>
    <x v="0"/>
  </r>
  <r>
    <s v="ORD0063"/>
    <x v="21"/>
    <x v="0"/>
    <x v="2"/>
    <x v="1"/>
    <x v="2"/>
    <x v="4"/>
    <n v="1759.99"/>
    <x v="4"/>
    <n v="3625.62"/>
    <x v="62"/>
    <n v="862.35"/>
    <x v="3"/>
  </r>
  <r>
    <s v="ORD0064"/>
    <x v="56"/>
    <x v="25"/>
    <x v="7"/>
    <x v="4"/>
    <x v="0"/>
    <x v="2"/>
    <n v="1946.49"/>
    <x v="2"/>
    <n v="2460.7199999999998"/>
    <x v="63"/>
    <n v="653.66"/>
    <x v="2"/>
  </r>
  <r>
    <s v="ORD0065"/>
    <x v="57"/>
    <x v="9"/>
    <x v="9"/>
    <x v="2"/>
    <x v="2"/>
    <x v="2"/>
    <n v="6188.2"/>
    <x v="4"/>
    <n v="7740.62"/>
    <x v="64"/>
    <n v="2779.32"/>
    <x v="1"/>
  </r>
  <r>
    <s v="ORD0066"/>
    <x v="58"/>
    <x v="47"/>
    <x v="4"/>
    <x v="2"/>
    <x v="2"/>
    <x v="1"/>
    <n v="9064.27"/>
    <x v="0"/>
    <n v="25092.080000000002"/>
    <x v="65"/>
    <n v="7539.29"/>
    <x v="2"/>
  </r>
  <r>
    <s v="ORD0067"/>
    <x v="59"/>
    <x v="36"/>
    <x v="5"/>
    <x v="3"/>
    <x v="0"/>
    <x v="0"/>
    <n v="2923.92"/>
    <x v="0"/>
    <n v="1939.38"/>
    <x v="66"/>
    <n v="692.15"/>
    <x v="3"/>
  </r>
  <r>
    <s v="ORD0068"/>
    <x v="21"/>
    <x v="49"/>
    <x v="2"/>
    <x v="1"/>
    <x v="1"/>
    <x v="0"/>
    <n v="1665.44"/>
    <x v="2"/>
    <n v="1058.57"/>
    <x v="67"/>
    <n v="273.77999999999997"/>
    <x v="0"/>
  </r>
  <r>
    <s v="ORD0069"/>
    <x v="13"/>
    <x v="50"/>
    <x v="3"/>
    <x v="1"/>
    <x v="1"/>
    <x v="4"/>
    <n v="983.47"/>
    <x v="3"/>
    <n v="1893.99"/>
    <x v="68"/>
    <n v="908.9"/>
    <x v="1"/>
  </r>
  <r>
    <s v="ORD0070"/>
    <x v="60"/>
    <x v="51"/>
    <x v="0"/>
    <x v="0"/>
    <x v="1"/>
    <x v="3"/>
    <n v="22333.51"/>
    <x v="1"/>
    <n v="86044.4"/>
    <x v="69"/>
    <n v="25623.15"/>
    <x v="2"/>
  </r>
  <r>
    <s v="ORD0071"/>
    <x v="61"/>
    <x v="45"/>
    <x v="8"/>
    <x v="3"/>
    <x v="0"/>
    <x v="2"/>
    <n v="4321.42"/>
    <x v="1"/>
    <n v="6518.68"/>
    <x v="70"/>
    <n v="2124.16"/>
    <x v="2"/>
  </r>
  <r>
    <s v="ORD0072"/>
    <x v="62"/>
    <x v="52"/>
    <x v="4"/>
    <x v="2"/>
    <x v="0"/>
    <x v="3"/>
    <n v="7767.23"/>
    <x v="4"/>
    <n v="30403.65"/>
    <x v="71"/>
    <n v="2607.08"/>
    <x v="0"/>
  </r>
  <r>
    <s v="ORD0073"/>
    <x v="63"/>
    <x v="5"/>
    <x v="7"/>
    <x v="4"/>
    <x v="1"/>
    <x v="0"/>
    <n v="1848.81"/>
    <x v="4"/>
    <n v="1422.35"/>
    <x v="72"/>
    <n v="149.13999999999999"/>
    <x v="0"/>
  </r>
  <r>
    <s v="ORD0074"/>
    <x v="64"/>
    <x v="44"/>
    <x v="6"/>
    <x v="0"/>
    <x v="2"/>
    <x v="3"/>
    <n v="2709.81"/>
    <x v="0"/>
    <n v="8799.75"/>
    <x v="73"/>
    <n v="3394.4"/>
    <x v="1"/>
  </r>
  <r>
    <s v="ORD0075"/>
    <x v="65"/>
    <x v="25"/>
    <x v="4"/>
    <x v="2"/>
    <x v="2"/>
    <x v="2"/>
    <n v="8416.36"/>
    <x v="1"/>
    <n v="10535.44"/>
    <x v="74"/>
    <n v="6297.28"/>
    <x v="1"/>
  </r>
  <r>
    <s v="ORD0076"/>
    <x v="66"/>
    <x v="52"/>
    <x v="1"/>
    <x v="0"/>
    <x v="3"/>
    <x v="1"/>
    <n v="51833.32"/>
    <x v="0"/>
    <n v="131001.2"/>
    <x v="75"/>
    <n v="55598.75"/>
    <x v="1"/>
  </r>
  <r>
    <s v="ORD0077"/>
    <x v="22"/>
    <x v="19"/>
    <x v="5"/>
    <x v="3"/>
    <x v="1"/>
    <x v="0"/>
    <n v="2934.79"/>
    <x v="2"/>
    <n v="2518.4499999999998"/>
    <x v="76"/>
    <n v="-170.62"/>
    <x v="0"/>
  </r>
  <r>
    <s v="ORD0078"/>
    <x v="67"/>
    <x v="43"/>
    <x v="7"/>
    <x v="4"/>
    <x v="3"/>
    <x v="1"/>
    <n v="1699.77"/>
    <x v="1"/>
    <n v="4127.4799999999996"/>
    <x v="77"/>
    <n v="2671.6"/>
    <x v="1"/>
  </r>
  <r>
    <s v="ORD0079"/>
    <x v="25"/>
    <x v="37"/>
    <x v="7"/>
    <x v="4"/>
    <x v="3"/>
    <x v="3"/>
    <n v="1978.79"/>
    <x v="2"/>
    <n v="5723.45"/>
    <x v="78"/>
    <n v="2191.71"/>
    <x v="0"/>
  </r>
  <r>
    <s v="ORD0080"/>
    <x v="31"/>
    <x v="4"/>
    <x v="3"/>
    <x v="1"/>
    <x v="1"/>
    <x v="4"/>
    <n v="939.83"/>
    <x v="0"/>
    <n v="1640.61"/>
    <x v="79"/>
    <n v="896.93"/>
    <x v="3"/>
  </r>
  <r>
    <s v="ORD0081"/>
    <x v="68"/>
    <x v="45"/>
    <x v="2"/>
    <x v="1"/>
    <x v="3"/>
    <x v="1"/>
    <n v="1971.58"/>
    <x v="0"/>
    <n v="5264.24"/>
    <x v="80"/>
    <n v="1833.45"/>
    <x v="2"/>
  </r>
  <r>
    <s v="ORD0082"/>
    <x v="69"/>
    <x v="10"/>
    <x v="2"/>
    <x v="1"/>
    <x v="1"/>
    <x v="4"/>
    <n v="1728.82"/>
    <x v="3"/>
    <n v="3457.2"/>
    <x v="81"/>
    <n v="1469.94"/>
    <x v="1"/>
  </r>
  <r>
    <s v="ORD0083"/>
    <x v="70"/>
    <x v="53"/>
    <x v="1"/>
    <x v="0"/>
    <x v="2"/>
    <x v="0"/>
    <n v="59884.99"/>
    <x v="2"/>
    <n v="34266.879999999997"/>
    <x v="82"/>
    <n v="13641.11"/>
    <x v="2"/>
  </r>
  <r>
    <s v="ORD0084"/>
    <x v="71"/>
    <x v="54"/>
    <x v="1"/>
    <x v="0"/>
    <x v="3"/>
    <x v="3"/>
    <n v="54345.16"/>
    <x v="0"/>
    <n v="183521.05"/>
    <x v="83"/>
    <n v="61032.17"/>
    <x v="0"/>
  </r>
  <r>
    <s v="ORD0085"/>
    <x v="72"/>
    <x v="54"/>
    <x v="0"/>
    <x v="0"/>
    <x v="1"/>
    <x v="0"/>
    <n v="22338.89"/>
    <x v="4"/>
    <n v="14804.61"/>
    <x v="84"/>
    <n v="4183.45"/>
    <x v="3"/>
  </r>
  <r>
    <s v="ORD0086"/>
    <x v="73"/>
    <x v="55"/>
    <x v="8"/>
    <x v="3"/>
    <x v="1"/>
    <x v="4"/>
    <n v="4156.6099999999997"/>
    <x v="1"/>
    <n v="10779.48"/>
    <x v="85"/>
    <n v="1690.35"/>
    <x v="0"/>
  </r>
  <r>
    <s v="ORD0087"/>
    <x v="74"/>
    <x v="25"/>
    <x v="7"/>
    <x v="4"/>
    <x v="0"/>
    <x v="1"/>
    <n v="1976.41"/>
    <x v="0"/>
    <n v="5508.28"/>
    <x v="86"/>
    <n v="1606.8"/>
    <x v="2"/>
  </r>
  <r>
    <s v="ORD0088"/>
    <x v="75"/>
    <x v="56"/>
    <x v="2"/>
    <x v="1"/>
    <x v="0"/>
    <x v="2"/>
    <n v="1676.54"/>
    <x v="0"/>
    <n v="2574.38"/>
    <x v="87"/>
    <n v="443.39"/>
    <x v="3"/>
  </r>
  <r>
    <s v="ORD0089"/>
    <x v="76"/>
    <x v="57"/>
    <x v="1"/>
    <x v="0"/>
    <x v="3"/>
    <x v="1"/>
    <n v="54669.04"/>
    <x v="4"/>
    <n v="158915.4"/>
    <x v="88"/>
    <n v="26959.34"/>
    <x v="1"/>
  </r>
  <r>
    <s v="ORD0090"/>
    <x v="53"/>
    <x v="58"/>
    <x v="7"/>
    <x v="4"/>
    <x v="1"/>
    <x v="0"/>
    <n v="1903.62"/>
    <x v="3"/>
    <n v="1405.76"/>
    <x v="89"/>
    <n v="402.68"/>
    <x v="0"/>
  </r>
  <r>
    <s v="ORD0091"/>
    <x v="77"/>
    <x v="29"/>
    <x v="0"/>
    <x v="0"/>
    <x v="0"/>
    <x v="3"/>
    <n v="23797.01"/>
    <x v="3"/>
    <n v="78309.95"/>
    <x v="90"/>
    <n v="34725.85"/>
    <x v="3"/>
  </r>
  <r>
    <s v="ORD0092"/>
    <x v="78"/>
    <x v="8"/>
    <x v="3"/>
    <x v="1"/>
    <x v="3"/>
    <x v="3"/>
    <n v="889.05"/>
    <x v="2"/>
    <n v="3511.35"/>
    <x v="91"/>
    <n v="44.85"/>
    <x v="0"/>
  </r>
  <r>
    <s v="ORD0093"/>
    <x v="79"/>
    <x v="59"/>
    <x v="3"/>
    <x v="1"/>
    <x v="3"/>
    <x v="3"/>
    <n v="824.48"/>
    <x v="2"/>
    <n v="3030.5"/>
    <x v="92"/>
    <n v="267.42"/>
    <x v="1"/>
  </r>
  <r>
    <s v="ORD0094"/>
    <x v="80"/>
    <x v="58"/>
    <x v="1"/>
    <x v="0"/>
    <x v="0"/>
    <x v="0"/>
    <n v="58695.54"/>
    <x v="3"/>
    <n v="43476.28"/>
    <x v="93"/>
    <n v="12284.48"/>
    <x v="1"/>
  </r>
  <r>
    <s v="ORD0095"/>
    <x v="81"/>
    <x v="60"/>
    <x v="8"/>
    <x v="3"/>
    <x v="2"/>
    <x v="0"/>
    <n v="4636.3599999999997"/>
    <x v="3"/>
    <n v="3004.31"/>
    <x v="94"/>
    <n v="1400.23"/>
    <x v="0"/>
  </r>
  <r>
    <s v="ORD0096"/>
    <x v="82"/>
    <x v="61"/>
    <x v="0"/>
    <x v="0"/>
    <x v="3"/>
    <x v="1"/>
    <n v="21212.66"/>
    <x v="0"/>
    <n v="57383.64"/>
    <x v="95"/>
    <n v="18981.939999999999"/>
    <x v="0"/>
  </r>
  <r>
    <s v="ORD0097"/>
    <x v="83"/>
    <x v="41"/>
    <x v="7"/>
    <x v="4"/>
    <x v="3"/>
    <x v="4"/>
    <n v="1818.03"/>
    <x v="4"/>
    <n v="4068.3"/>
    <x v="96"/>
    <n v="567.67999999999995"/>
    <x v="1"/>
  </r>
  <r>
    <s v="ORD0098"/>
    <x v="84"/>
    <x v="62"/>
    <x v="4"/>
    <x v="2"/>
    <x v="2"/>
    <x v="0"/>
    <n v="9052.3799999999992"/>
    <x v="4"/>
    <n v="6512.93"/>
    <x v="97"/>
    <n v="1181.5899999999999"/>
    <x v="0"/>
  </r>
  <r>
    <s v="ORD0099"/>
    <x v="53"/>
    <x v="40"/>
    <x v="1"/>
    <x v="0"/>
    <x v="0"/>
    <x v="2"/>
    <n v="57820.87"/>
    <x v="2"/>
    <n v="70448.94"/>
    <x v="98"/>
    <n v="22064.45"/>
    <x v="3"/>
  </r>
  <r>
    <s v="ORD0100"/>
    <x v="85"/>
    <x v="19"/>
    <x v="3"/>
    <x v="1"/>
    <x v="0"/>
    <x v="3"/>
    <n v="888.86"/>
    <x v="3"/>
    <n v="3518.65"/>
    <x v="99"/>
    <n v="703.44"/>
    <x v="2"/>
  </r>
  <r>
    <s v="ORD0101"/>
    <x v="22"/>
    <x v="41"/>
    <x v="8"/>
    <x v="3"/>
    <x v="1"/>
    <x v="2"/>
    <n v="4062.31"/>
    <x v="3"/>
    <n v="5649.18"/>
    <x v="100"/>
    <n v="2069.21"/>
    <x v="2"/>
  </r>
  <r>
    <s v="ORD0102"/>
    <x v="11"/>
    <x v="5"/>
    <x v="7"/>
    <x v="4"/>
    <x v="3"/>
    <x v="0"/>
    <n v="1877.98"/>
    <x v="3"/>
    <n v="1214.27"/>
    <x v="101"/>
    <n v="569.80999999999995"/>
    <x v="0"/>
  </r>
  <r>
    <s v="ORD0103"/>
    <x v="86"/>
    <x v="45"/>
    <x v="7"/>
    <x v="4"/>
    <x v="1"/>
    <x v="1"/>
    <n v="1672.07"/>
    <x v="3"/>
    <n v="4782.2"/>
    <x v="102"/>
    <n v="1571.67"/>
    <x v="2"/>
  </r>
  <r>
    <s v="ORD0104"/>
    <x v="87"/>
    <x v="63"/>
    <x v="3"/>
    <x v="1"/>
    <x v="3"/>
    <x v="1"/>
    <n v="901.39"/>
    <x v="0"/>
    <n v="2820.84"/>
    <x v="103"/>
    <n v="424.16"/>
    <x v="0"/>
  </r>
  <r>
    <s v="ORD0105"/>
    <x v="34"/>
    <x v="3"/>
    <x v="6"/>
    <x v="0"/>
    <x v="2"/>
    <x v="1"/>
    <n v="2416.2199999999998"/>
    <x v="2"/>
    <n v="6710.84"/>
    <x v="104"/>
    <n v="1021.06"/>
    <x v="1"/>
  </r>
  <r>
    <s v="ORD0106"/>
    <x v="88"/>
    <x v="36"/>
    <x v="2"/>
    <x v="1"/>
    <x v="3"/>
    <x v="2"/>
    <n v="1928.16"/>
    <x v="2"/>
    <n v="2324.6799999999998"/>
    <x v="105"/>
    <n v="760.38"/>
    <x v="0"/>
  </r>
  <r>
    <s v="ORD0107"/>
    <x v="89"/>
    <x v="58"/>
    <x v="9"/>
    <x v="2"/>
    <x v="3"/>
    <x v="1"/>
    <n v="5898.13"/>
    <x v="3"/>
    <n v="17519.64"/>
    <x v="106"/>
    <n v="4893.25"/>
    <x v="2"/>
  </r>
  <r>
    <s v="ORD0108"/>
    <x v="90"/>
    <x v="32"/>
    <x v="7"/>
    <x v="4"/>
    <x v="1"/>
    <x v="0"/>
    <n v="1625.53"/>
    <x v="2"/>
    <n v="1399.7"/>
    <x v="107"/>
    <n v="-99.28"/>
    <x v="2"/>
  </r>
  <r>
    <s v="ORD0109"/>
    <x v="91"/>
    <x v="37"/>
    <x v="7"/>
    <x v="4"/>
    <x v="2"/>
    <x v="4"/>
    <n v="1763.09"/>
    <x v="0"/>
    <n v="3811.41"/>
    <x v="108"/>
    <n v="948.93"/>
    <x v="1"/>
  </r>
  <r>
    <s v="ORD0110"/>
    <x v="61"/>
    <x v="63"/>
    <x v="7"/>
    <x v="4"/>
    <x v="1"/>
    <x v="3"/>
    <n v="1704.52"/>
    <x v="1"/>
    <n v="6339.3"/>
    <x v="109"/>
    <n v="2183.3000000000002"/>
    <x v="2"/>
  </r>
  <r>
    <s v="ORD0111"/>
    <x v="92"/>
    <x v="36"/>
    <x v="9"/>
    <x v="2"/>
    <x v="3"/>
    <x v="0"/>
    <n v="6752.2"/>
    <x v="1"/>
    <n v="4295.9799999999996"/>
    <x v="110"/>
    <n v="2456.2199999999998"/>
    <x v="2"/>
  </r>
  <r>
    <s v="ORD0112"/>
    <x v="88"/>
    <x v="25"/>
    <x v="3"/>
    <x v="1"/>
    <x v="1"/>
    <x v="4"/>
    <n v="853.96"/>
    <x v="0"/>
    <n v="1775.7"/>
    <x v="111"/>
    <n v="529.99"/>
    <x v="3"/>
  </r>
  <r>
    <s v="ORD0113"/>
    <x v="93"/>
    <x v="11"/>
    <x v="6"/>
    <x v="0"/>
    <x v="1"/>
    <x v="0"/>
    <n v="2559.86"/>
    <x v="2"/>
    <n v="1919.27"/>
    <x v="112"/>
    <n v="128.62"/>
    <x v="3"/>
  </r>
  <r>
    <s v="ORD0114"/>
    <x v="94"/>
    <x v="63"/>
    <x v="7"/>
    <x v="4"/>
    <x v="1"/>
    <x v="4"/>
    <n v="1623.38"/>
    <x v="4"/>
    <n v="3314.7"/>
    <x v="113"/>
    <n v="824.92"/>
    <x v="2"/>
  </r>
  <r>
    <s v="ORD0115"/>
    <x v="95"/>
    <x v="64"/>
    <x v="7"/>
    <x v="4"/>
    <x v="2"/>
    <x v="4"/>
    <n v="1966.33"/>
    <x v="2"/>
    <n v="3373.86"/>
    <x v="114"/>
    <n v="1345.33"/>
    <x v="1"/>
  </r>
  <r>
    <s v="ORD0116"/>
    <x v="96"/>
    <x v="65"/>
    <x v="2"/>
    <x v="1"/>
    <x v="3"/>
    <x v="1"/>
    <n v="1757.29"/>
    <x v="4"/>
    <n v="4151.96"/>
    <x v="115"/>
    <n v="1822.83"/>
    <x v="1"/>
  </r>
  <r>
    <s v="ORD0117"/>
    <x v="97"/>
    <x v="55"/>
    <x v="1"/>
    <x v="0"/>
    <x v="2"/>
    <x v="1"/>
    <n v="59015.74"/>
    <x v="0"/>
    <n v="121445.4"/>
    <x v="116"/>
    <n v="91011.26"/>
    <x v="1"/>
  </r>
  <r>
    <s v="ORD0118"/>
    <x v="98"/>
    <x v="0"/>
    <x v="2"/>
    <x v="1"/>
    <x v="1"/>
    <x v="3"/>
    <n v="1688.45"/>
    <x v="0"/>
    <n v="5442.75"/>
    <x v="117"/>
    <n v="2155.2800000000002"/>
    <x v="2"/>
  </r>
  <r>
    <s v="ORD0119"/>
    <x v="99"/>
    <x v="41"/>
    <x v="1"/>
    <x v="0"/>
    <x v="3"/>
    <x v="4"/>
    <n v="53513.47"/>
    <x v="4"/>
    <n v="92126.28"/>
    <x v="118"/>
    <n v="44333.07"/>
    <x v="1"/>
  </r>
  <r>
    <s v="ORD0120"/>
    <x v="100"/>
    <x v="66"/>
    <x v="9"/>
    <x v="2"/>
    <x v="3"/>
    <x v="2"/>
    <n v="6551.23"/>
    <x v="3"/>
    <n v="7579.52"/>
    <x v="119"/>
    <n v="4867.82"/>
    <x v="3"/>
  </r>
  <r>
    <s v="ORD0121"/>
    <x v="13"/>
    <x v="44"/>
    <x v="3"/>
    <x v="1"/>
    <x v="0"/>
    <x v="1"/>
    <n v="870.97"/>
    <x v="0"/>
    <n v="2651.92"/>
    <x v="120"/>
    <n v="483.57"/>
    <x v="3"/>
  </r>
  <r>
    <s v="ORD0122"/>
    <x v="101"/>
    <x v="26"/>
    <x v="2"/>
    <x v="1"/>
    <x v="0"/>
    <x v="1"/>
    <n v="1904.65"/>
    <x v="2"/>
    <n v="4618.3999999999996"/>
    <x v="121"/>
    <n v="1476.48"/>
    <x v="0"/>
  </r>
  <r>
    <s v="ORD0123"/>
    <x v="102"/>
    <x v="28"/>
    <x v="4"/>
    <x v="2"/>
    <x v="1"/>
    <x v="4"/>
    <n v="8735.5300000000007"/>
    <x v="2"/>
    <n v="16454.04"/>
    <x v="122"/>
    <n v="4511.2299999999996"/>
    <x v="0"/>
  </r>
  <r>
    <s v="ORD0124"/>
    <x v="62"/>
    <x v="67"/>
    <x v="1"/>
    <x v="0"/>
    <x v="2"/>
    <x v="3"/>
    <n v="56210.9"/>
    <x v="2"/>
    <n v="173800.45"/>
    <x v="123"/>
    <n v="51043.15"/>
    <x v="1"/>
  </r>
  <r>
    <s v="ORD0125"/>
    <x v="103"/>
    <x v="49"/>
    <x v="9"/>
    <x v="2"/>
    <x v="0"/>
    <x v="0"/>
    <n v="5898.38"/>
    <x v="3"/>
    <n v="3648.69"/>
    <x v="124"/>
    <n v="1954.77"/>
    <x v="3"/>
  </r>
  <r>
    <s v="ORD0126"/>
    <x v="45"/>
    <x v="15"/>
    <x v="5"/>
    <x v="3"/>
    <x v="2"/>
    <x v="2"/>
    <n v="3309.11"/>
    <x v="4"/>
    <n v="4245.84"/>
    <x v="125"/>
    <n v="1379.65"/>
    <x v="3"/>
  </r>
  <r>
    <s v="ORD0127"/>
    <x v="104"/>
    <x v="68"/>
    <x v="9"/>
    <x v="2"/>
    <x v="3"/>
    <x v="0"/>
    <n v="7070.77"/>
    <x v="4"/>
    <n v="4575.43"/>
    <x v="126"/>
    <n v="1434.72"/>
    <x v="3"/>
  </r>
  <r>
    <s v="ORD0128"/>
    <x v="72"/>
    <x v="69"/>
    <x v="7"/>
    <x v="4"/>
    <x v="3"/>
    <x v="1"/>
    <n v="1655.77"/>
    <x v="3"/>
    <n v="5499.8"/>
    <x v="127"/>
    <n v="792.13"/>
    <x v="2"/>
  </r>
  <r>
    <s v="ORD0129"/>
    <x v="83"/>
    <x v="41"/>
    <x v="9"/>
    <x v="2"/>
    <x v="1"/>
    <x v="4"/>
    <n v="7083.71"/>
    <x v="3"/>
    <n v="15445.02"/>
    <x v="128"/>
    <n v="4743.55"/>
    <x v="2"/>
  </r>
  <r>
    <s v="ORD0130"/>
    <x v="105"/>
    <x v="67"/>
    <x v="1"/>
    <x v="0"/>
    <x v="1"/>
    <x v="4"/>
    <n v="58156.76"/>
    <x v="3"/>
    <n v="131538.87"/>
    <x v="129"/>
    <n v="34207.9"/>
    <x v="3"/>
  </r>
  <r>
    <s v="ORD0131"/>
    <x v="106"/>
    <x v="70"/>
    <x v="2"/>
    <x v="1"/>
    <x v="1"/>
    <x v="4"/>
    <n v="1834.55"/>
    <x v="3"/>
    <n v="4034.67"/>
    <x v="130"/>
    <n v="1193.8"/>
    <x v="1"/>
  </r>
  <r>
    <s v="ORD0132"/>
    <x v="107"/>
    <x v="58"/>
    <x v="6"/>
    <x v="0"/>
    <x v="3"/>
    <x v="0"/>
    <n v="2429.12"/>
    <x v="1"/>
    <n v="1457.38"/>
    <x v="131"/>
    <n v="971.74"/>
    <x v="2"/>
  </r>
  <r>
    <s v="ORD0133"/>
    <x v="13"/>
    <x v="46"/>
    <x v="6"/>
    <x v="0"/>
    <x v="0"/>
    <x v="4"/>
    <n v="2460.48"/>
    <x v="1"/>
    <n v="4362.66"/>
    <x v="132"/>
    <n v="3018.78"/>
    <x v="0"/>
  </r>
  <r>
    <s v="ORD0134"/>
    <x v="39"/>
    <x v="42"/>
    <x v="7"/>
    <x v="4"/>
    <x v="0"/>
    <x v="4"/>
    <n v="1782.72"/>
    <x v="2"/>
    <n v="3771.45"/>
    <x v="133"/>
    <n v="507.08"/>
    <x v="1"/>
  </r>
  <r>
    <s v="ORD0135"/>
    <x v="108"/>
    <x v="13"/>
    <x v="7"/>
    <x v="4"/>
    <x v="0"/>
    <x v="0"/>
    <n v="1925.03"/>
    <x v="1"/>
    <n v="1439.36"/>
    <x v="134"/>
    <n v="485.67"/>
    <x v="0"/>
  </r>
  <r>
    <s v="ORD0136"/>
    <x v="109"/>
    <x v="6"/>
    <x v="7"/>
    <x v="4"/>
    <x v="3"/>
    <x v="0"/>
    <n v="1673.4"/>
    <x v="1"/>
    <n v="1134.95"/>
    <x v="135"/>
    <n v="538.45000000000005"/>
    <x v="0"/>
  </r>
  <r>
    <s v="ORD0137"/>
    <x v="110"/>
    <x v="2"/>
    <x v="8"/>
    <x v="3"/>
    <x v="0"/>
    <x v="3"/>
    <n v="4594.88"/>
    <x v="0"/>
    <n v="14927.15"/>
    <x v="136"/>
    <n v="5749.81"/>
    <x v="3"/>
  </r>
  <r>
    <s v="ORD0138"/>
    <x v="50"/>
    <x v="71"/>
    <x v="9"/>
    <x v="2"/>
    <x v="0"/>
    <x v="1"/>
    <n v="6925.64"/>
    <x v="3"/>
    <n v="16989.8"/>
    <x v="137"/>
    <n v="9327.6299999999992"/>
    <x v="1"/>
  </r>
  <r>
    <s v="ORD0139"/>
    <x v="111"/>
    <x v="67"/>
    <x v="9"/>
    <x v="2"/>
    <x v="0"/>
    <x v="4"/>
    <n v="6048.43"/>
    <x v="0"/>
    <n v="12549.72"/>
    <x v="138"/>
    <n v="3781.04"/>
    <x v="2"/>
  </r>
  <r>
    <s v="ORD0140"/>
    <x v="112"/>
    <x v="1"/>
    <x v="0"/>
    <x v="0"/>
    <x v="0"/>
    <x v="1"/>
    <n v="21439.65"/>
    <x v="1"/>
    <n v="64780.959999999999"/>
    <x v="139"/>
    <n v="20977.64"/>
    <x v="1"/>
  </r>
  <r>
    <s v="ORD0141"/>
    <x v="18"/>
    <x v="72"/>
    <x v="0"/>
    <x v="0"/>
    <x v="0"/>
    <x v="1"/>
    <n v="23940.97"/>
    <x v="0"/>
    <n v="67619.360000000001"/>
    <x v="140"/>
    <n v="18568.13"/>
    <x v="1"/>
  </r>
  <r>
    <s v="ORD0142"/>
    <x v="113"/>
    <x v="62"/>
    <x v="8"/>
    <x v="3"/>
    <x v="2"/>
    <x v="4"/>
    <n v="4506.67"/>
    <x v="0"/>
    <n v="7774.65"/>
    <x v="141"/>
    <n v="4393.3599999999997"/>
    <x v="3"/>
  </r>
  <r>
    <s v="ORD0143"/>
    <x v="114"/>
    <x v="18"/>
    <x v="0"/>
    <x v="0"/>
    <x v="2"/>
    <x v="4"/>
    <n v="23155.46"/>
    <x v="2"/>
    <n v="42364.77"/>
    <x v="142"/>
    <n v="13208.33"/>
    <x v="2"/>
  </r>
  <r>
    <s v="ORD0144"/>
    <x v="115"/>
    <x v="52"/>
    <x v="8"/>
    <x v="3"/>
    <x v="3"/>
    <x v="4"/>
    <n v="4682.43"/>
    <x v="1"/>
    <n v="8033.91"/>
    <x v="143"/>
    <n v="6013.38"/>
    <x v="2"/>
  </r>
  <r>
    <s v="ORD0145"/>
    <x v="36"/>
    <x v="34"/>
    <x v="6"/>
    <x v="0"/>
    <x v="0"/>
    <x v="2"/>
    <n v="2284.79"/>
    <x v="2"/>
    <n v="3571.68"/>
    <x v="144"/>
    <n v="83.98"/>
    <x v="3"/>
  </r>
  <r>
    <s v="ORD0146"/>
    <x v="116"/>
    <x v="50"/>
    <x v="9"/>
    <x v="2"/>
    <x v="0"/>
    <x v="1"/>
    <n v="6331.07"/>
    <x v="4"/>
    <n v="16515.84"/>
    <x v="145"/>
    <n v="5009.8"/>
    <x v="2"/>
  </r>
  <r>
    <s v="ORD0147"/>
    <x v="47"/>
    <x v="62"/>
    <x v="6"/>
    <x v="0"/>
    <x v="2"/>
    <x v="2"/>
    <n v="2290.79"/>
    <x v="2"/>
    <n v="2812.2"/>
    <x v="146"/>
    <n v="853.06"/>
    <x v="0"/>
  </r>
  <r>
    <s v="ORD0148"/>
    <x v="13"/>
    <x v="73"/>
    <x v="8"/>
    <x v="3"/>
    <x v="2"/>
    <x v="1"/>
    <n v="4729.45"/>
    <x v="4"/>
    <n v="11129.24"/>
    <x v="147"/>
    <n v="4950.8900000000003"/>
    <x v="2"/>
  </r>
  <r>
    <s v="ORD0149"/>
    <x v="117"/>
    <x v="51"/>
    <x v="3"/>
    <x v="1"/>
    <x v="0"/>
    <x v="3"/>
    <n v="865.52"/>
    <x v="4"/>
    <n v="3067.8"/>
    <x v="148"/>
    <n v="610.66"/>
    <x v="2"/>
  </r>
  <r>
    <s v="ORD0150"/>
    <x v="118"/>
    <x v="74"/>
    <x v="2"/>
    <x v="1"/>
    <x v="0"/>
    <x v="4"/>
    <n v="1895.1"/>
    <x v="3"/>
    <n v="4005.93"/>
    <x v="149"/>
    <n v="1395.1"/>
    <x v="2"/>
  </r>
  <r>
    <s v="ORD0151"/>
    <x v="119"/>
    <x v="14"/>
    <x v="7"/>
    <x v="4"/>
    <x v="3"/>
    <x v="1"/>
    <n v="1811.73"/>
    <x v="3"/>
    <n v="4192.5200000000004"/>
    <x v="150"/>
    <n v="2692.05"/>
    <x v="2"/>
  </r>
  <r>
    <s v="ORD0152"/>
    <x v="120"/>
    <x v="65"/>
    <x v="9"/>
    <x v="2"/>
    <x v="2"/>
    <x v="0"/>
    <n v="7047.51"/>
    <x v="4"/>
    <n v="3605.45"/>
    <x v="151"/>
    <n v="2384.9299999999998"/>
    <x v="0"/>
  </r>
  <r>
    <s v="ORD0153"/>
    <x v="121"/>
    <x v="31"/>
    <x v="9"/>
    <x v="2"/>
    <x v="2"/>
    <x v="4"/>
    <n v="7106.06"/>
    <x v="1"/>
    <n v="12699.54"/>
    <x v="152"/>
    <n v="8618.64"/>
    <x v="1"/>
  </r>
  <r>
    <s v="ORD0154"/>
    <x v="68"/>
    <x v="47"/>
    <x v="0"/>
    <x v="0"/>
    <x v="2"/>
    <x v="1"/>
    <n v="22391.03"/>
    <x v="1"/>
    <n v="53752.959999999999"/>
    <x v="153"/>
    <n v="35811.160000000003"/>
    <x v="1"/>
  </r>
  <r>
    <s v="ORD0155"/>
    <x v="36"/>
    <x v="49"/>
    <x v="4"/>
    <x v="2"/>
    <x v="1"/>
    <x v="2"/>
    <n v="7779.84"/>
    <x v="0"/>
    <n v="12661.26"/>
    <x v="154"/>
    <n v="1342.45"/>
    <x v="1"/>
  </r>
  <r>
    <s v="ORD0156"/>
    <x v="75"/>
    <x v="55"/>
    <x v="4"/>
    <x v="2"/>
    <x v="1"/>
    <x v="2"/>
    <n v="8085.15"/>
    <x v="3"/>
    <n v="9786.92"/>
    <x v="155"/>
    <n v="5574.86"/>
    <x v="2"/>
  </r>
  <r>
    <s v="ORD0157"/>
    <x v="24"/>
    <x v="13"/>
    <x v="6"/>
    <x v="0"/>
    <x v="3"/>
    <x v="1"/>
    <n v="2629.94"/>
    <x v="4"/>
    <n v="7386.12"/>
    <x v="156"/>
    <n v="1555.68"/>
    <x v="1"/>
  </r>
  <r>
    <s v="ORD0158"/>
    <x v="122"/>
    <x v="58"/>
    <x v="6"/>
    <x v="0"/>
    <x v="0"/>
    <x v="1"/>
    <n v="2565.69"/>
    <x v="1"/>
    <n v="6672.32"/>
    <x v="157"/>
    <n v="3590.44"/>
    <x v="1"/>
  </r>
  <r>
    <s v="ORD0159"/>
    <x v="123"/>
    <x v="63"/>
    <x v="5"/>
    <x v="3"/>
    <x v="0"/>
    <x v="0"/>
    <n v="2904.07"/>
    <x v="0"/>
    <n v="2129.39"/>
    <x v="158"/>
    <n v="484.27"/>
    <x v="2"/>
  </r>
  <r>
    <s v="ORD0160"/>
    <x v="124"/>
    <x v="75"/>
    <x v="8"/>
    <x v="3"/>
    <x v="1"/>
    <x v="3"/>
    <n v="4572.3"/>
    <x v="2"/>
    <n v="14537.7"/>
    <x v="159"/>
    <n v="3751.5"/>
    <x v="1"/>
  </r>
  <r>
    <s v="ORD0161"/>
    <x v="0"/>
    <x v="52"/>
    <x v="8"/>
    <x v="3"/>
    <x v="0"/>
    <x v="1"/>
    <n v="4105.6899999999996"/>
    <x v="2"/>
    <n v="10578.88"/>
    <x v="160"/>
    <n v="2559.33"/>
    <x v="3"/>
  </r>
  <r>
    <s v="ORD0162"/>
    <x v="125"/>
    <x v="61"/>
    <x v="1"/>
    <x v="0"/>
    <x v="3"/>
    <x v="2"/>
    <n v="55264.75"/>
    <x v="4"/>
    <n v="87752.12"/>
    <x v="161"/>
    <n v="6197.95"/>
    <x v="1"/>
  </r>
  <r>
    <s v="ORD0163"/>
    <x v="126"/>
    <x v="76"/>
    <x v="3"/>
    <x v="1"/>
    <x v="3"/>
    <x v="1"/>
    <n v="932.2"/>
    <x v="4"/>
    <n v="2677"/>
    <x v="162"/>
    <n v="492.48"/>
    <x v="2"/>
  </r>
  <r>
    <s v="ORD0164"/>
    <x v="127"/>
    <x v="55"/>
    <x v="4"/>
    <x v="2"/>
    <x v="1"/>
    <x v="0"/>
    <n v="8133.05"/>
    <x v="2"/>
    <n v="6116.56"/>
    <x v="163"/>
    <n v="389.88"/>
    <x v="1"/>
  </r>
  <r>
    <s v="ORD0165"/>
    <x v="128"/>
    <x v="2"/>
    <x v="0"/>
    <x v="0"/>
    <x v="2"/>
    <x v="3"/>
    <n v="21165.02"/>
    <x v="3"/>
    <n v="85710.55"/>
    <x v="164"/>
    <n v="14823.3"/>
    <x v="3"/>
  </r>
  <r>
    <s v="ORD0166"/>
    <x v="40"/>
    <x v="77"/>
    <x v="8"/>
    <x v="3"/>
    <x v="0"/>
    <x v="0"/>
    <n v="4629.1400000000003"/>
    <x v="0"/>
    <n v="3103.79"/>
    <x v="165"/>
    <n v="1062.44"/>
    <x v="0"/>
  </r>
  <r>
    <s v="ORD0167"/>
    <x v="33"/>
    <x v="52"/>
    <x v="5"/>
    <x v="3"/>
    <x v="2"/>
    <x v="4"/>
    <n v="2995.37"/>
    <x v="1"/>
    <n v="6150.24"/>
    <x v="166"/>
    <n v="2835.87"/>
    <x v="3"/>
  </r>
  <r>
    <s v="ORD0168"/>
    <x v="129"/>
    <x v="14"/>
    <x v="2"/>
    <x v="1"/>
    <x v="0"/>
    <x v="2"/>
    <n v="1923.99"/>
    <x v="3"/>
    <n v="2049.44"/>
    <x v="167"/>
    <n v="1606.14"/>
    <x v="1"/>
  </r>
  <r>
    <s v="ORD0169"/>
    <x v="67"/>
    <x v="17"/>
    <x v="8"/>
    <x v="3"/>
    <x v="1"/>
    <x v="2"/>
    <n v="4196.0200000000004"/>
    <x v="2"/>
    <n v="5797.62"/>
    <x v="168"/>
    <n v="916.01"/>
    <x v="0"/>
  </r>
  <r>
    <s v="ORD0170"/>
    <x v="130"/>
    <x v="42"/>
    <x v="1"/>
    <x v="0"/>
    <x v="3"/>
    <x v="1"/>
    <n v="52112.83"/>
    <x v="0"/>
    <n v="158199.96"/>
    <x v="169"/>
    <n v="29406.23"/>
    <x v="0"/>
  </r>
  <r>
    <s v="ORD0171"/>
    <x v="131"/>
    <x v="20"/>
    <x v="2"/>
    <x v="1"/>
    <x v="3"/>
    <x v="3"/>
    <n v="1911.1"/>
    <x v="3"/>
    <n v="5646.3"/>
    <x v="170"/>
    <n v="3431.43"/>
    <x v="0"/>
  </r>
  <r>
    <s v="ORD0172"/>
    <x v="15"/>
    <x v="33"/>
    <x v="7"/>
    <x v="4"/>
    <x v="1"/>
    <x v="4"/>
    <n v="1770.72"/>
    <x v="4"/>
    <n v="3648.93"/>
    <x v="171"/>
    <n v="866.41"/>
    <x v="1"/>
  </r>
  <r>
    <s v="ORD0173"/>
    <x v="132"/>
    <x v="4"/>
    <x v="1"/>
    <x v="0"/>
    <x v="3"/>
    <x v="1"/>
    <n v="50628.49"/>
    <x v="0"/>
    <n v="151499.76"/>
    <x v="172"/>
    <n v="30762.799999999999"/>
    <x v="2"/>
  </r>
  <r>
    <s v="ORD0174"/>
    <x v="133"/>
    <x v="41"/>
    <x v="6"/>
    <x v="0"/>
    <x v="1"/>
    <x v="4"/>
    <n v="2323.67"/>
    <x v="4"/>
    <n v="5822.46"/>
    <x v="173"/>
    <n v="102.9"/>
    <x v="0"/>
  </r>
  <r>
    <s v="ORD0175"/>
    <x v="134"/>
    <x v="12"/>
    <x v="4"/>
    <x v="2"/>
    <x v="0"/>
    <x v="0"/>
    <n v="8503.41"/>
    <x v="4"/>
    <n v="4788.17"/>
    <x v="174"/>
    <n v="2439.73"/>
    <x v="1"/>
  </r>
  <r>
    <s v="ORD0176"/>
    <x v="135"/>
    <x v="37"/>
    <x v="2"/>
    <x v="1"/>
    <x v="1"/>
    <x v="0"/>
    <n v="1922.1"/>
    <x v="0"/>
    <n v="1408.87"/>
    <x v="175"/>
    <n v="321.02"/>
    <x v="3"/>
  </r>
  <r>
    <s v="ORD0177"/>
    <x v="136"/>
    <x v="78"/>
    <x v="1"/>
    <x v="0"/>
    <x v="2"/>
    <x v="4"/>
    <n v="51026.720000000001"/>
    <x v="4"/>
    <n v="119462.97"/>
    <x v="176"/>
    <n v="10655.17"/>
    <x v="2"/>
  </r>
  <r>
    <s v="ORD0178"/>
    <x v="137"/>
    <x v="66"/>
    <x v="0"/>
    <x v="0"/>
    <x v="2"/>
    <x v="0"/>
    <n v="20457.89"/>
    <x v="0"/>
    <n v="13286.1"/>
    <x v="177"/>
    <n v="5126"/>
    <x v="2"/>
  </r>
  <r>
    <s v="ORD0179"/>
    <x v="8"/>
    <x v="31"/>
    <x v="3"/>
    <x v="1"/>
    <x v="2"/>
    <x v="2"/>
    <n v="852.92"/>
    <x v="0"/>
    <n v="1044.8399999999999"/>
    <x v="178"/>
    <n v="490.42"/>
    <x v="2"/>
  </r>
  <r>
    <s v="ORD0180"/>
    <x v="80"/>
    <x v="16"/>
    <x v="0"/>
    <x v="0"/>
    <x v="1"/>
    <x v="1"/>
    <n v="22580.6"/>
    <x v="2"/>
    <n v="60193.2"/>
    <x v="179"/>
    <n v="12064.72"/>
    <x v="1"/>
  </r>
  <r>
    <s v="ORD0181"/>
    <x v="138"/>
    <x v="79"/>
    <x v="9"/>
    <x v="2"/>
    <x v="0"/>
    <x v="0"/>
    <n v="6591.86"/>
    <x v="2"/>
    <n v="4148.33"/>
    <x v="180"/>
    <n v="1125.1600000000001"/>
    <x v="1"/>
  </r>
  <r>
    <s v="ORD0182"/>
    <x v="139"/>
    <x v="48"/>
    <x v="0"/>
    <x v="0"/>
    <x v="2"/>
    <x v="3"/>
    <n v="24148.66"/>
    <x v="2"/>
    <n v="74451.5"/>
    <x v="181"/>
    <n v="22143.14"/>
    <x v="0"/>
  </r>
  <r>
    <s v="ORD0183"/>
    <x v="140"/>
    <x v="73"/>
    <x v="1"/>
    <x v="0"/>
    <x v="1"/>
    <x v="1"/>
    <n v="49678.66"/>
    <x v="0"/>
    <n v="134950.76"/>
    <x v="182"/>
    <n v="43892.42"/>
    <x v="2"/>
  </r>
  <r>
    <s v="ORD0184"/>
    <x v="141"/>
    <x v="80"/>
    <x v="8"/>
    <x v="3"/>
    <x v="2"/>
    <x v="4"/>
    <n v="4541.41"/>
    <x v="3"/>
    <n v="7574.64"/>
    <x v="183"/>
    <n v="5368.38"/>
    <x v="0"/>
  </r>
  <r>
    <s v="ORD0185"/>
    <x v="142"/>
    <x v="38"/>
    <x v="6"/>
    <x v="0"/>
    <x v="1"/>
    <x v="2"/>
    <n v="2721.8"/>
    <x v="1"/>
    <n v="3645.06"/>
    <x v="184"/>
    <n v="1798.54"/>
    <x v="2"/>
  </r>
  <r>
    <s v="ORD0186"/>
    <x v="34"/>
    <x v="78"/>
    <x v="2"/>
    <x v="1"/>
    <x v="3"/>
    <x v="0"/>
    <n v="1805.54"/>
    <x v="0"/>
    <n v="1410.02"/>
    <x v="185"/>
    <n v="214.97"/>
    <x v="2"/>
  </r>
  <r>
    <s v="ORD0187"/>
    <x v="128"/>
    <x v="37"/>
    <x v="2"/>
    <x v="1"/>
    <x v="3"/>
    <x v="4"/>
    <n v="1637.21"/>
    <x v="0"/>
    <n v="4133.88"/>
    <x v="186"/>
    <n v="286.58999999999997"/>
    <x v="2"/>
  </r>
  <r>
    <s v="ORD0188"/>
    <x v="143"/>
    <x v="52"/>
    <x v="4"/>
    <x v="2"/>
    <x v="1"/>
    <x v="1"/>
    <n v="9170.8799999999992"/>
    <x v="4"/>
    <n v="25018.12"/>
    <x v="187"/>
    <n v="6162.87"/>
    <x v="0"/>
  </r>
  <r>
    <s v="ORD0189"/>
    <x v="144"/>
    <x v="47"/>
    <x v="7"/>
    <x v="4"/>
    <x v="2"/>
    <x v="4"/>
    <n v="1649.74"/>
    <x v="2"/>
    <n v="3330.06"/>
    <x v="188"/>
    <n v="629.32000000000005"/>
    <x v="3"/>
  </r>
  <r>
    <s v="ORD0190"/>
    <x v="145"/>
    <x v="81"/>
    <x v="5"/>
    <x v="3"/>
    <x v="2"/>
    <x v="4"/>
    <n v="3089.87"/>
    <x v="0"/>
    <n v="5526.24"/>
    <x v="189"/>
    <n v="2816.41"/>
    <x v="0"/>
  </r>
  <r>
    <s v="ORD0191"/>
    <x v="146"/>
    <x v="42"/>
    <x v="6"/>
    <x v="0"/>
    <x v="2"/>
    <x v="1"/>
    <n v="2613.41"/>
    <x v="0"/>
    <n v="6617.84"/>
    <x v="190"/>
    <n v="2790.44"/>
    <x v="1"/>
  </r>
  <r>
    <s v="ORD0192"/>
    <x v="147"/>
    <x v="61"/>
    <x v="1"/>
    <x v="0"/>
    <x v="0"/>
    <x v="0"/>
    <n v="58312.06"/>
    <x v="4"/>
    <n v="35245.53"/>
    <x v="191"/>
    <n v="14319.72"/>
    <x v="3"/>
  </r>
  <r>
    <s v="ORD0193"/>
    <x v="148"/>
    <x v="30"/>
    <x v="8"/>
    <x v="3"/>
    <x v="3"/>
    <x v="1"/>
    <n v="4262.3999999999996"/>
    <x v="1"/>
    <n v="10468.040000000001"/>
    <x v="192"/>
    <n v="6581.56"/>
    <x v="0"/>
  </r>
  <r>
    <s v="ORD0194"/>
    <x v="149"/>
    <x v="69"/>
    <x v="8"/>
    <x v="3"/>
    <x v="2"/>
    <x v="0"/>
    <n v="4454.93"/>
    <x v="2"/>
    <n v="2647.62"/>
    <x v="193"/>
    <n v="916.32"/>
    <x v="2"/>
  </r>
  <r>
    <s v="ORD0195"/>
    <x v="81"/>
    <x v="43"/>
    <x v="8"/>
    <x v="3"/>
    <x v="0"/>
    <x v="2"/>
    <n v="4332.95"/>
    <x v="2"/>
    <n v="5775.64"/>
    <x v="194"/>
    <n v="1157.08"/>
    <x v="2"/>
  </r>
  <r>
    <s v="ORD0196"/>
    <x v="14"/>
    <x v="50"/>
    <x v="6"/>
    <x v="0"/>
    <x v="3"/>
    <x v="1"/>
    <n v="2530.84"/>
    <x v="2"/>
    <n v="6467.48"/>
    <x v="195"/>
    <n v="1631.21"/>
    <x v="0"/>
  </r>
  <r>
    <s v="ORD0197"/>
    <x v="150"/>
    <x v="4"/>
    <x v="2"/>
    <x v="1"/>
    <x v="1"/>
    <x v="3"/>
    <n v="1979.51"/>
    <x v="0"/>
    <n v="6511.45"/>
    <x v="196"/>
    <n v="2396.35"/>
    <x v="2"/>
  </r>
  <r>
    <s v="ORD0198"/>
    <x v="151"/>
    <x v="79"/>
    <x v="7"/>
    <x v="4"/>
    <x v="3"/>
    <x v="2"/>
    <n v="1911.78"/>
    <x v="4"/>
    <n v="2877.54"/>
    <x v="197"/>
    <n v="372.49"/>
    <x v="2"/>
  </r>
  <r>
    <s v="ORD0199"/>
    <x v="152"/>
    <x v="5"/>
    <x v="5"/>
    <x v="3"/>
    <x v="1"/>
    <x v="3"/>
    <n v="3424.87"/>
    <x v="0"/>
    <n v="12365.35"/>
    <x v="198"/>
    <n v="3046.56"/>
    <x v="1"/>
  </r>
  <r>
    <s v="ORD0200"/>
    <x v="107"/>
    <x v="11"/>
    <x v="5"/>
    <x v="3"/>
    <x v="0"/>
    <x v="2"/>
    <n v="3386.92"/>
    <x v="1"/>
    <n v="5096.22"/>
    <x v="199"/>
    <n v="1677.62"/>
    <x v="1"/>
  </r>
  <r>
    <s v="ORD0201"/>
    <x v="112"/>
    <x v="42"/>
    <x v="5"/>
    <x v="3"/>
    <x v="0"/>
    <x v="3"/>
    <n v="3509.13"/>
    <x v="0"/>
    <n v="10669.6"/>
    <x v="200"/>
    <n v="5121.49"/>
    <x v="2"/>
  </r>
  <r>
    <s v="ORD0202"/>
    <x v="80"/>
    <x v="29"/>
    <x v="3"/>
    <x v="1"/>
    <x v="1"/>
    <x v="1"/>
    <n v="948.45"/>
    <x v="4"/>
    <n v="2453.12"/>
    <x v="201"/>
    <n v="771.61"/>
    <x v="1"/>
  </r>
  <r>
    <s v="ORD0203"/>
    <x v="153"/>
    <x v="82"/>
    <x v="0"/>
    <x v="0"/>
    <x v="1"/>
    <x v="1"/>
    <n v="21315.87"/>
    <x v="4"/>
    <n v="63362.400000000001"/>
    <x v="202"/>
    <n v="9111.56"/>
    <x v="3"/>
  </r>
  <r>
    <s v="ORD0204"/>
    <x v="154"/>
    <x v="83"/>
    <x v="9"/>
    <x v="2"/>
    <x v="1"/>
    <x v="3"/>
    <n v="6523.53"/>
    <x v="1"/>
    <n v="24630.05"/>
    <x v="203"/>
    <n v="7987.6"/>
    <x v="1"/>
  </r>
  <r>
    <s v="ORD0205"/>
    <x v="98"/>
    <x v="33"/>
    <x v="2"/>
    <x v="1"/>
    <x v="3"/>
    <x v="4"/>
    <n v="1924.54"/>
    <x v="2"/>
    <n v="4178.16"/>
    <x v="204"/>
    <n v="440.74"/>
    <x v="3"/>
  </r>
  <r>
    <s v="ORD0206"/>
    <x v="56"/>
    <x v="84"/>
    <x v="3"/>
    <x v="1"/>
    <x v="1"/>
    <x v="3"/>
    <n v="925.38"/>
    <x v="2"/>
    <n v="2580.1"/>
    <x v="205"/>
    <n v="1121.42"/>
    <x v="3"/>
  </r>
  <r>
    <s v="ORD0207"/>
    <x v="92"/>
    <x v="47"/>
    <x v="8"/>
    <x v="3"/>
    <x v="0"/>
    <x v="3"/>
    <n v="4557.26"/>
    <x v="0"/>
    <n v="17114.25"/>
    <x v="206"/>
    <n v="3393.42"/>
    <x v="1"/>
  </r>
  <r>
    <s v="ORD0208"/>
    <x v="155"/>
    <x v="15"/>
    <x v="2"/>
    <x v="1"/>
    <x v="3"/>
    <x v="3"/>
    <n v="1630.9"/>
    <x v="4"/>
    <n v="6340.75"/>
    <x v="207"/>
    <n v="590.57000000000005"/>
    <x v="1"/>
  </r>
  <r>
    <s v="ORD0209"/>
    <x v="156"/>
    <x v="61"/>
    <x v="7"/>
    <x v="4"/>
    <x v="2"/>
    <x v="2"/>
    <n v="1646.27"/>
    <x v="4"/>
    <n v="2247.6999999999998"/>
    <x v="208"/>
    <n v="550.96"/>
    <x v="0"/>
  </r>
  <r>
    <s v="ORD0210"/>
    <x v="151"/>
    <x v="35"/>
    <x v="7"/>
    <x v="4"/>
    <x v="3"/>
    <x v="1"/>
    <n v="1671.72"/>
    <x v="3"/>
    <n v="4572.3599999999997"/>
    <x v="209"/>
    <n v="1780.18"/>
    <x v="0"/>
  </r>
  <r>
    <s v="ORD0211"/>
    <x v="94"/>
    <x v="4"/>
    <x v="6"/>
    <x v="0"/>
    <x v="3"/>
    <x v="4"/>
    <n v="2409.56"/>
    <x v="2"/>
    <n v="5178.09"/>
    <x v="210"/>
    <n v="604.85"/>
    <x v="0"/>
  </r>
  <r>
    <s v="ORD0212"/>
    <x v="157"/>
    <x v="71"/>
    <x v="2"/>
    <x v="1"/>
    <x v="1"/>
    <x v="2"/>
    <n v="1960.34"/>
    <x v="1"/>
    <n v="2025.54"/>
    <x v="211"/>
    <n v="1895.14"/>
    <x v="3"/>
  </r>
  <r>
    <s v="ORD0213"/>
    <x v="158"/>
    <x v="44"/>
    <x v="4"/>
    <x v="2"/>
    <x v="2"/>
    <x v="3"/>
    <n v="7920.88"/>
    <x v="0"/>
    <n v="25392"/>
    <x v="212"/>
    <n v="10251.959999999999"/>
    <x v="1"/>
  </r>
  <r>
    <s v="ORD0214"/>
    <x v="93"/>
    <x v="9"/>
    <x v="7"/>
    <x v="4"/>
    <x v="3"/>
    <x v="0"/>
    <n v="1801.96"/>
    <x v="1"/>
    <n v="1415.35"/>
    <x v="213"/>
    <n v="386.61"/>
    <x v="2"/>
  </r>
  <r>
    <s v="ORD0215"/>
    <x v="159"/>
    <x v="78"/>
    <x v="1"/>
    <x v="0"/>
    <x v="3"/>
    <x v="4"/>
    <n v="58771.35"/>
    <x v="4"/>
    <n v="115397.64"/>
    <x v="214"/>
    <n v="34469.300000000003"/>
    <x v="2"/>
  </r>
  <r>
    <s v="ORD0216"/>
    <x v="160"/>
    <x v="30"/>
    <x v="0"/>
    <x v="0"/>
    <x v="0"/>
    <x v="1"/>
    <n v="23001.040000000001"/>
    <x v="3"/>
    <n v="67814.039999999994"/>
    <x v="215"/>
    <n v="19589.91"/>
    <x v="0"/>
  </r>
  <r>
    <s v="ORD0217"/>
    <x v="161"/>
    <x v="12"/>
    <x v="1"/>
    <x v="0"/>
    <x v="2"/>
    <x v="3"/>
    <n v="55585.45"/>
    <x v="2"/>
    <n v="164632.54999999999"/>
    <x v="216"/>
    <n v="57709.25"/>
    <x v="1"/>
  </r>
  <r>
    <s v="ORD0218"/>
    <x v="162"/>
    <x v="52"/>
    <x v="8"/>
    <x v="3"/>
    <x v="3"/>
    <x v="3"/>
    <n v="4137.01"/>
    <x v="1"/>
    <n v="13098.75"/>
    <x v="217"/>
    <n v="7586.3"/>
    <x v="3"/>
  </r>
  <r>
    <s v="ORD0219"/>
    <x v="163"/>
    <x v="21"/>
    <x v="2"/>
    <x v="1"/>
    <x v="3"/>
    <x v="3"/>
    <n v="1634.49"/>
    <x v="2"/>
    <n v="5853.1"/>
    <x v="218"/>
    <n v="684.86"/>
    <x v="0"/>
  </r>
  <r>
    <s v="ORD0220"/>
    <x v="57"/>
    <x v="42"/>
    <x v="5"/>
    <x v="3"/>
    <x v="3"/>
    <x v="1"/>
    <n v="3209.92"/>
    <x v="3"/>
    <n v="8980.0400000000009"/>
    <x v="219"/>
    <n v="3217.66"/>
    <x v="3"/>
  </r>
  <r>
    <s v="ORD0221"/>
    <x v="11"/>
    <x v="10"/>
    <x v="9"/>
    <x v="2"/>
    <x v="2"/>
    <x v="3"/>
    <n v="6509.51"/>
    <x v="0"/>
    <n v="22699"/>
    <x v="220"/>
    <n v="6593.8"/>
    <x v="1"/>
  </r>
  <r>
    <s v="ORD0222"/>
    <x v="73"/>
    <x v="84"/>
    <x v="7"/>
    <x v="4"/>
    <x v="3"/>
    <x v="0"/>
    <n v="1659.46"/>
    <x v="0"/>
    <n v="1139.06"/>
    <x v="221"/>
    <n v="354.45"/>
    <x v="2"/>
  </r>
  <r>
    <s v="ORD0223"/>
    <x v="164"/>
    <x v="65"/>
    <x v="8"/>
    <x v="3"/>
    <x v="1"/>
    <x v="1"/>
    <n v="4754.6099999999997"/>
    <x v="0"/>
    <n v="14251.8"/>
    <x v="222"/>
    <n v="2864.8"/>
    <x v="2"/>
  </r>
  <r>
    <s v="ORD0224"/>
    <x v="6"/>
    <x v="70"/>
    <x v="8"/>
    <x v="3"/>
    <x v="1"/>
    <x v="1"/>
    <n v="4699.0600000000004"/>
    <x v="3"/>
    <n v="12259.04"/>
    <x v="223"/>
    <n v="5597.39"/>
    <x v="2"/>
  </r>
  <r>
    <s v="ORD0225"/>
    <x v="165"/>
    <x v="32"/>
    <x v="8"/>
    <x v="3"/>
    <x v="1"/>
    <x v="0"/>
    <n v="4332.32"/>
    <x v="3"/>
    <n v="2496.3000000000002"/>
    <x v="224"/>
    <n v="1619.4"/>
    <x v="0"/>
  </r>
  <r>
    <s v="ORD0226"/>
    <x v="166"/>
    <x v="5"/>
    <x v="5"/>
    <x v="3"/>
    <x v="1"/>
    <x v="3"/>
    <n v="3350.94"/>
    <x v="4"/>
    <n v="12291.25"/>
    <x v="225"/>
    <n v="1950.25"/>
    <x v="3"/>
  </r>
  <r>
    <s v="ORD0227"/>
    <x v="75"/>
    <x v="85"/>
    <x v="5"/>
    <x v="3"/>
    <x v="3"/>
    <x v="4"/>
    <n v="3080.8"/>
    <x v="4"/>
    <n v="6541.14"/>
    <x v="226"/>
    <n v="1314.9"/>
    <x v="1"/>
  </r>
  <r>
    <s v="ORD0228"/>
    <x v="167"/>
    <x v="86"/>
    <x v="3"/>
    <x v="1"/>
    <x v="1"/>
    <x v="3"/>
    <n v="854.37"/>
    <x v="4"/>
    <n v="2691.3"/>
    <x v="227"/>
    <n v="939.77"/>
    <x v="1"/>
  </r>
  <r>
    <s v="ORD0229"/>
    <x v="122"/>
    <x v="63"/>
    <x v="3"/>
    <x v="1"/>
    <x v="0"/>
    <x v="2"/>
    <n v="872.78"/>
    <x v="4"/>
    <n v="1132.6600000000001"/>
    <x v="228"/>
    <n v="351.07"/>
    <x v="0"/>
  </r>
  <r>
    <s v="ORD0230"/>
    <x v="168"/>
    <x v="73"/>
    <x v="9"/>
    <x v="2"/>
    <x v="2"/>
    <x v="4"/>
    <n v="6223.92"/>
    <x v="3"/>
    <n v="12140.97"/>
    <x v="229"/>
    <n v="5597.2"/>
    <x v="1"/>
  </r>
  <r>
    <s v="ORD0231"/>
    <x v="10"/>
    <x v="2"/>
    <x v="7"/>
    <x v="4"/>
    <x v="3"/>
    <x v="2"/>
    <n v="1717.61"/>
    <x v="3"/>
    <n v="2725.16"/>
    <x v="230"/>
    <n v="538.29999999999995"/>
    <x v="3"/>
  </r>
  <r>
    <s v="ORD0232"/>
    <x v="169"/>
    <x v="18"/>
    <x v="0"/>
    <x v="0"/>
    <x v="1"/>
    <x v="3"/>
    <n v="20023.37"/>
    <x v="2"/>
    <n v="67080.25"/>
    <x v="231"/>
    <n v="13013.23"/>
    <x v="2"/>
  </r>
  <r>
    <s v="ORD0233"/>
    <x v="170"/>
    <x v="39"/>
    <x v="0"/>
    <x v="0"/>
    <x v="1"/>
    <x v="1"/>
    <n v="20242.400000000001"/>
    <x v="0"/>
    <n v="64181.88"/>
    <x v="232"/>
    <n v="8690.76"/>
    <x v="0"/>
  </r>
  <r>
    <s v="ORD0234"/>
    <x v="27"/>
    <x v="7"/>
    <x v="7"/>
    <x v="4"/>
    <x v="0"/>
    <x v="1"/>
    <n v="1723.41"/>
    <x v="3"/>
    <n v="5320.64"/>
    <x v="233"/>
    <n v="1228.32"/>
    <x v="2"/>
  </r>
  <r>
    <s v="ORD0235"/>
    <x v="163"/>
    <x v="80"/>
    <x v="8"/>
    <x v="3"/>
    <x v="2"/>
    <x v="2"/>
    <n v="4815.3"/>
    <x v="2"/>
    <n v="6612.04"/>
    <x v="234"/>
    <n v="1092.44"/>
    <x v="3"/>
  </r>
  <r>
    <s v="ORD0236"/>
    <x v="118"/>
    <x v="68"/>
    <x v="1"/>
    <x v="0"/>
    <x v="0"/>
    <x v="1"/>
    <n v="57739.040000000001"/>
    <x v="4"/>
    <n v="131247.12"/>
    <x v="235"/>
    <n v="65065.62"/>
    <x v="1"/>
  </r>
  <r>
    <s v="ORD0237"/>
    <x v="83"/>
    <x v="7"/>
    <x v="8"/>
    <x v="3"/>
    <x v="2"/>
    <x v="3"/>
    <n v="4351.54"/>
    <x v="1"/>
    <n v="17597.55"/>
    <x v="236"/>
    <n v="4160.1499999999996"/>
    <x v="3"/>
  </r>
  <r>
    <s v="ORD0238"/>
    <x v="171"/>
    <x v="35"/>
    <x v="5"/>
    <x v="3"/>
    <x v="2"/>
    <x v="1"/>
    <n v="2952.09"/>
    <x v="0"/>
    <n v="7657"/>
    <x v="237"/>
    <n v="2970.52"/>
    <x v="1"/>
  </r>
  <r>
    <s v="ORD0239"/>
    <x v="5"/>
    <x v="80"/>
    <x v="6"/>
    <x v="0"/>
    <x v="2"/>
    <x v="0"/>
    <n v="2533.89"/>
    <x v="0"/>
    <n v="1869.23"/>
    <x v="238"/>
    <n v="411.27"/>
    <x v="0"/>
  </r>
  <r>
    <s v="ORD0240"/>
    <x v="172"/>
    <x v="87"/>
    <x v="5"/>
    <x v="3"/>
    <x v="3"/>
    <x v="4"/>
    <n v="2941.05"/>
    <x v="1"/>
    <n v="6242.01"/>
    <x v="239"/>
    <n v="2581.14"/>
    <x v="3"/>
  </r>
  <r>
    <s v="ORD0241"/>
    <x v="40"/>
    <x v="86"/>
    <x v="1"/>
    <x v="0"/>
    <x v="0"/>
    <x v="4"/>
    <n v="57791.32"/>
    <x v="4"/>
    <n v="100465.26"/>
    <x v="240"/>
    <n v="46902.61"/>
    <x v="1"/>
  </r>
  <r>
    <s v="ORD0242"/>
    <x v="2"/>
    <x v="88"/>
    <x v="4"/>
    <x v="2"/>
    <x v="3"/>
    <x v="2"/>
    <n v="8441.17"/>
    <x v="1"/>
    <n v="12188.1"/>
    <x v="241"/>
    <n v="4694.24"/>
    <x v="2"/>
  </r>
  <r>
    <s v="ORD0243"/>
    <x v="173"/>
    <x v="89"/>
    <x v="3"/>
    <x v="1"/>
    <x v="2"/>
    <x v="4"/>
    <n v="982.32"/>
    <x v="2"/>
    <n v="1634.07"/>
    <x v="242"/>
    <n v="723.5"/>
    <x v="1"/>
  </r>
  <r>
    <s v="ORD0244"/>
    <x v="174"/>
    <x v="90"/>
    <x v="9"/>
    <x v="2"/>
    <x v="1"/>
    <x v="3"/>
    <n v="6892.59"/>
    <x v="4"/>
    <n v="24028.45"/>
    <x v="243"/>
    <n v="5265.06"/>
    <x v="2"/>
  </r>
  <r>
    <s v="ORD0245"/>
    <x v="175"/>
    <x v="49"/>
    <x v="5"/>
    <x v="3"/>
    <x v="0"/>
    <x v="1"/>
    <n v="2929.99"/>
    <x v="2"/>
    <n v="9292.0400000000009"/>
    <x v="244"/>
    <n v="83.93"/>
    <x v="3"/>
  </r>
  <r>
    <s v="ORD0246"/>
    <x v="47"/>
    <x v="49"/>
    <x v="8"/>
    <x v="3"/>
    <x v="1"/>
    <x v="3"/>
    <n v="4819.04"/>
    <x v="3"/>
    <n v="13300.5"/>
    <x v="245"/>
    <n v="9589.94"/>
    <x v="0"/>
  </r>
  <r>
    <s v="ORD0247"/>
    <x v="176"/>
    <x v="71"/>
    <x v="0"/>
    <x v="0"/>
    <x v="2"/>
    <x v="3"/>
    <n v="21795.1"/>
    <x v="4"/>
    <n v="82739.05"/>
    <x v="246"/>
    <n v="9890.1299999999992"/>
    <x v="2"/>
  </r>
  <r>
    <s v="ORD0248"/>
    <x v="87"/>
    <x v="46"/>
    <x v="5"/>
    <x v="3"/>
    <x v="1"/>
    <x v="1"/>
    <n v="3133.41"/>
    <x v="0"/>
    <n v="9354.48"/>
    <x v="247"/>
    <n v="1925.8"/>
    <x v="2"/>
  </r>
  <r>
    <s v="ORD0249"/>
    <x v="156"/>
    <x v="67"/>
    <x v="1"/>
    <x v="0"/>
    <x v="2"/>
    <x v="1"/>
    <n v="55452.800000000003"/>
    <x v="0"/>
    <n v="159521.16"/>
    <x v="248"/>
    <n v="40108.92"/>
    <x v="2"/>
  </r>
  <r>
    <s v="ORD0250"/>
    <x v="148"/>
    <x v="71"/>
    <x v="3"/>
    <x v="1"/>
    <x v="3"/>
    <x v="1"/>
    <n v="947.85"/>
    <x v="3"/>
    <n v="2672.08"/>
    <x v="249"/>
    <n v="929.75"/>
    <x v="0"/>
  </r>
  <r>
    <s v="ORD0251"/>
    <x v="54"/>
    <x v="21"/>
    <x v="7"/>
    <x v="4"/>
    <x v="3"/>
    <x v="1"/>
    <n v="1967.09"/>
    <x v="4"/>
    <n v="4104.4399999999996"/>
    <x v="250"/>
    <n v="2583.67"/>
    <x v="2"/>
  </r>
  <r>
    <s v="ORD0252"/>
    <x v="177"/>
    <x v="39"/>
    <x v="6"/>
    <x v="0"/>
    <x v="0"/>
    <x v="3"/>
    <n v="2613.9299999999998"/>
    <x v="4"/>
    <n v="8527.65"/>
    <x v="251"/>
    <n v="2581.5500000000002"/>
    <x v="1"/>
  </r>
  <r>
    <s v="ORD0253"/>
    <x v="19"/>
    <x v="85"/>
    <x v="7"/>
    <x v="4"/>
    <x v="3"/>
    <x v="3"/>
    <n v="1916.41"/>
    <x v="4"/>
    <n v="6146.85"/>
    <x v="252"/>
    <n v="1997.89"/>
    <x v="3"/>
  </r>
  <r>
    <s v="ORD0254"/>
    <x v="178"/>
    <x v="17"/>
    <x v="3"/>
    <x v="1"/>
    <x v="0"/>
    <x v="2"/>
    <n v="928.84"/>
    <x v="1"/>
    <n v="1004.5"/>
    <x v="253"/>
    <n v="853.18"/>
    <x v="3"/>
  </r>
  <r>
    <s v="ORD0255"/>
    <x v="159"/>
    <x v="5"/>
    <x v="2"/>
    <x v="1"/>
    <x v="0"/>
    <x v="0"/>
    <n v="1780.72"/>
    <x v="1"/>
    <n v="1257.27"/>
    <x v="254"/>
    <n v="523.45000000000005"/>
    <x v="3"/>
  </r>
  <r>
    <s v="ORD0256"/>
    <x v="179"/>
    <x v="21"/>
    <x v="1"/>
    <x v="0"/>
    <x v="3"/>
    <x v="1"/>
    <n v="51889.96"/>
    <x v="4"/>
    <n v="133888.68"/>
    <x v="255"/>
    <n v="42537.18"/>
    <x v="3"/>
  </r>
  <r>
    <s v="ORD0257"/>
    <x v="180"/>
    <x v="16"/>
    <x v="8"/>
    <x v="3"/>
    <x v="3"/>
    <x v="4"/>
    <n v="4655.28"/>
    <x v="2"/>
    <n v="9442.98"/>
    <x v="256"/>
    <n v="1729.69"/>
    <x v="3"/>
  </r>
  <r>
    <s v="ORD0258"/>
    <x v="181"/>
    <x v="91"/>
    <x v="5"/>
    <x v="3"/>
    <x v="1"/>
    <x v="2"/>
    <n v="2919.01"/>
    <x v="4"/>
    <n v="4000.8"/>
    <x v="257"/>
    <n v="961.52"/>
    <x v="0"/>
  </r>
  <r>
    <s v="ORD0259"/>
    <x v="182"/>
    <x v="3"/>
    <x v="5"/>
    <x v="3"/>
    <x v="3"/>
    <x v="1"/>
    <n v="3482.62"/>
    <x v="1"/>
    <n v="10151.32"/>
    <x v="258"/>
    <n v="3779.16"/>
    <x v="0"/>
  </r>
  <r>
    <s v="ORD0260"/>
    <x v="111"/>
    <x v="16"/>
    <x v="9"/>
    <x v="2"/>
    <x v="1"/>
    <x v="2"/>
    <n v="6830.74"/>
    <x v="0"/>
    <n v="8373.5"/>
    <x v="259"/>
    <n v="3921.83"/>
    <x v="1"/>
  </r>
  <r>
    <s v="ORD0261"/>
    <x v="167"/>
    <x v="66"/>
    <x v="6"/>
    <x v="0"/>
    <x v="1"/>
    <x v="1"/>
    <n v="2733.89"/>
    <x v="1"/>
    <n v="6905.96"/>
    <x v="260"/>
    <n v="4029.6"/>
    <x v="0"/>
  </r>
  <r>
    <s v="ORD0262"/>
    <x v="183"/>
    <x v="69"/>
    <x v="2"/>
    <x v="1"/>
    <x v="0"/>
    <x v="4"/>
    <n v="1648.47"/>
    <x v="3"/>
    <n v="3415.86"/>
    <x v="261"/>
    <n v="1282.28"/>
    <x v="3"/>
  </r>
  <r>
    <s v="ORD0263"/>
    <x v="161"/>
    <x v="20"/>
    <x v="1"/>
    <x v="0"/>
    <x v="1"/>
    <x v="4"/>
    <n v="56132.14"/>
    <x v="4"/>
    <n v="118538.97"/>
    <x v="262"/>
    <n v="24597.99"/>
    <x v="0"/>
  </r>
  <r>
    <s v="ORD0264"/>
    <x v="86"/>
    <x v="91"/>
    <x v="2"/>
    <x v="1"/>
    <x v="0"/>
    <x v="4"/>
    <n v="1625.52"/>
    <x v="0"/>
    <n v="4261.9799999999996"/>
    <x v="263"/>
    <n v="126.92"/>
    <x v="0"/>
  </r>
  <r>
    <s v="ORD0265"/>
    <x v="180"/>
    <x v="50"/>
    <x v="2"/>
    <x v="1"/>
    <x v="3"/>
    <x v="3"/>
    <n v="1706.16"/>
    <x v="3"/>
    <n v="5842.4"/>
    <x v="264"/>
    <n v="2261.86"/>
    <x v="0"/>
  </r>
  <r>
    <s v="ORD0266"/>
    <x v="184"/>
    <x v="44"/>
    <x v="7"/>
    <x v="4"/>
    <x v="0"/>
    <x v="3"/>
    <n v="1749.47"/>
    <x v="0"/>
    <n v="5643.95"/>
    <x v="265"/>
    <n v="2228.67"/>
    <x v="0"/>
  </r>
  <r>
    <s v="ORD0267"/>
    <x v="39"/>
    <x v="91"/>
    <x v="4"/>
    <x v="2"/>
    <x v="1"/>
    <x v="2"/>
    <n v="7727.72"/>
    <x v="0"/>
    <n v="10679.92"/>
    <x v="266"/>
    <n v="3229.98"/>
    <x v="2"/>
  </r>
  <r>
    <s v="ORD0268"/>
    <x v="185"/>
    <x v="33"/>
    <x v="3"/>
    <x v="1"/>
    <x v="3"/>
    <x v="3"/>
    <n v="885.16"/>
    <x v="2"/>
    <n v="3126.55"/>
    <x v="267"/>
    <n v="414.09"/>
    <x v="3"/>
  </r>
  <r>
    <s v="ORD0269"/>
    <x v="61"/>
    <x v="52"/>
    <x v="9"/>
    <x v="2"/>
    <x v="3"/>
    <x v="3"/>
    <n v="6700.99"/>
    <x v="3"/>
    <n v="21931.8"/>
    <x v="268"/>
    <n v="9897.9"/>
    <x v="0"/>
  </r>
  <r>
    <s v="ORD0270"/>
    <x v="172"/>
    <x v="72"/>
    <x v="7"/>
    <x v="4"/>
    <x v="2"/>
    <x v="1"/>
    <n v="1746.78"/>
    <x v="3"/>
    <n v="5279"/>
    <x v="269"/>
    <n v="1358.76"/>
    <x v="3"/>
  </r>
  <r>
    <s v="ORD0271"/>
    <x v="21"/>
    <x v="54"/>
    <x v="5"/>
    <x v="3"/>
    <x v="0"/>
    <x v="0"/>
    <n v="3421.89"/>
    <x v="2"/>
    <n v="1787.06"/>
    <x v="270"/>
    <n v="950.45"/>
    <x v="0"/>
  </r>
  <r>
    <s v="ORD0272"/>
    <x v="186"/>
    <x v="85"/>
    <x v="6"/>
    <x v="0"/>
    <x v="3"/>
    <x v="2"/>
    <n v="2254.5700000000002"/>
    <x v="1"/>
    <n v="3633.96"/>
    <x v="271"/>
    <n v="875.18"/>
    <x v="2"/>
  </r>
  <r>
    <s v="ORD0273"/>
    <x v="17"/>
    <x v="56"/>
    <x v="8"/>
    <x v="3"/>
    <x v="2"/>
    <x v="3"/>
    <n v="4064.16"/>
    <x v="4"/>
    <n v="16083.45"/>
    <x v="272"/>
    <n v="1189.23"/>
    <x v="2"/>
  </r>
  <r>
    <s v="ORD0274"/>
    <x v="89"/>
    <x v="2"/>
    <x v="1"/>
    <x v="0"/>
    <x v="2"/>
    <x v="3"/>
    <n v="52653.57"/>
    <x v="0"/>
    <n v="188082"/>
    <x v="273"/>
    <n v="48859.06"/>
    <x v="3"/>
  </r>
  <r>
    <s v="ORD0275"/>
    <x v="187"/>
    <x v="64"/>
    <x v="0"/>
    <x v="0"/>
    <x v="3"/>
    <x v="0"/>
    <n v="20644.5"/>
    <x v="2"/>
    <n v="12918.94"/>
    <x v="274"/>
    <n v="3596.66"/>
    <x v="1"/>
  </r>
  <r>
    <s v="ORD0276"/>
    <x v="188"/>
    <x v="2"/>
    <x v="9"/>
    <x v="2"/>
    <x v="1"/>
    <x v="0"/>
    <n v="6446.7"/>
    <x v="0"/>
    <n v="5133.8599999999997"/>
    <x v="275"/>
    <n v="668.17"/>
    <x v="1"/>
  </r>
  <r>
    <s v="ORD0277"/>
    <x v="49"/>
    <x v="23"/>
    <x v="0"/>
    <x v="0"/>
    <x v="0"/>
    <x v="0"/>
    <n v="21459.55"/>
    <x v="1"/>
    <n v="14329.03"/>
    <x v="276"/>
    <n v="7130.52"/>
    <x v="3"/>
  </r>
  <r>
    <s v="ORD0278"/>
    <x v="189"/>
    <x v="66"/>
    <x v="0"/>
    <x v="0"/>
    <x v="0"/>
    <x v="1"/>
    <n v="21257.59"/>
    <x v="4"/>
    <n v="62587.96"/>
    <x v="277"/>
    <n v="9687.85"/>
    <x v="3"/>
  </r>
  <r>
    <s v="ORD0279"/>
    <x v="61"/>
    <x v="6"/>
    <x v="2"/>
    <x v="1"/>
    <x v="0"/>
    <x v="3"/>
    <n v="1952.7"/>
    <x v="4"/>
    <n v="5559.95"/>
    <x v="278"/>
    <n v="2739.03"/>
    <x v="3"/>
  </r>
  <r>
    <s v="ORD0280"/>
    <x v="152"/>
    <x v="51"/>
    <x v="4"/>
    <x v="2"/>
    <x v="0"/>
    <x v="0"/>
    <n v="8928.83"/>
    <x v="3"/>
    <n v="5922.45"/>
    <x v="279"/>
    <n v="2559.94"/>
    <x v="1"/>
  </r>
  <r>
    <s v="ORD0281"/>
    <x v="190"/>
    <x v="15"/>
    <x v="6"/>
    <x v="0"/>
    <x v="3"/>
    <x v="3"/>
    <n v="2674.72"/>
    <x v="3"/>
    <n v="8645.9"/>
    <x v="280"/>
    <n v="4059.02"/>
    <x v="0"/>
  </r>
  <r>
    <s v="ORD0282"/>
    <x v="110"/>
    <x v="59"/>
    <x v="6"/>
    <x v="0"/>
    <x v="1"/>
    <x v="0"/>
    <n v="2422.9299999999998"/>
    <x v="2"/>
    <n v="1840.91"/>
    <x v="281"/>
    <n v="97.43"/>
    <x v="2"/>
  </r>
  <r>
    <s v="ORD0283"/>
    <x v="57"/>
    <x v="34"/>
    <x v="4"/>
    <x v="2"/>
    <x v="3"/>
    <x v="3"/>
    <n v="8324.4"/>
    <x v="2"/>
    <n v="33520.35"/>
    <x v="282"/>
    <n v="-222.75"/>
    <x v="0"/>
  </r>
  <r>
    <s v="ORD0284"/>
    <x v="138"/>
    <x v="13"/>
    <x v="7"/>
    <x v="4"/>
    <x v="2"/>
    <x v="2"/>
    <n v="1755.15"/>
    <x v="0"/>
    <n v="2477.7399999999998"/>
    <x v="283"/>
    <n v="681.53"/>
    <x v="2"/>
  </r>
  <r>
    <s v="ORD0285"/>
    <x v="185"/>
    <x v="3"/>
    <x v="8"/>
    <x v="3"/>
    <x v="1"/>
    <x v="4"/>
    <n v="4123.83"/>
    <x v="3"/>
    <n v="9831.75"/>
    <x v="284"/>
    <n v="1921.17"/>
    <x v="0"/>
  </r>
  <r>
    <s v="ORD0286"/>
    <x v="130"/>
    <x v="30"/>
    <x v="4"/>
    <x v="2"/>
    <x v="3"/>
    <x v="4"/>
    <n v="9253.0300000000007"/>
    <x v="1"/>
    <n v="14608.44"/>
    <x v="285"/>
    <n v="13150.65"/>
    <x v="2"/>
  </r>
  <r>
    <s v="ORD0287"/>
    <x v="176"/>
    <x v="32"/>
    <x v="6"/>
    <x v="0"/>
    <x v="0"/>
    <x v="0"/>
    <n v="2528.4899999999998"/>
    <x v="3"/>
    <n v="1644.36"/>
    <x v="286"/>
    <n v="757.71"/>
    <x v="2"/>
  </r>
  <r>
    <s v="ORD0288"/>
    <x v="116"/>
    <x v="12"/>
    <x v="0"/>
    <x v="0"/>
    <x v="0"/>
    <x v="4"/>
    <n v="22431.39"/>
    <x v="2"/>
    <n v="37835.550000000003"/>
    <x v="287"/>
    <n v="15999.79"/>
    <x v="1"/>
  </r>
  <r>
    <s v="ORD0289"/>
    <x v="188"/>
    <x v="65"/>
    <x v="9"/>
    <x v="2"/>
    <x v="1"/>
    <x v="1"/>
    <n v="6577.4"/>
    <x v="1"/>
    <n v="19011.48"/>
    <x v="288"/>
    <n v="7298.12"/>
    <x v="0"/>
  </r>
  <r>
    <s v="ORD0290"/>
    <x v="12"/>
    <x v="83"/>
    <x v="6"/>
    <x v="0"/>
    <x v="2"/>
    <x v="2"/>
    <n v="2496.56"/>
    <x v="0"/>
    <n v="3126.42"/>
    <x v="289"/>
    <n v="1367.39"/>
    <x v="1"/>
  </r>
  <r>
    <s v="ORD0291"/>
    <x v="19"/>
    <x v="72"/>
    <x v="9"/>
    <x v="2"/>
    <x v="2"/>
    <x v="4"/>
    <n v="6319.46"/>
    <x v="4"/>
    <n v="14540.49"/>
    <x v="290"/>
    <n v="1574.13"/>
    <x v="3"/>
  </r>
  <r>
    <s v="ORD0292"/>
    <x v="37"/>
    <x v="31"/>
    <x v="7"/>
    <x v="4"/>
    <x v="2"/>
    <x v="0"/>
    <n v="1961.58"/>
    <x v="3"/>
    <n v="1127.0999999999999"/>
    <x v="291"/>
    <n v="736.4"/>
    <x v="1"/>
  </r>
  <r>
    <s v="ORD0293"/>
    <x v="191"/>
    <x v="21"/>
    <x v="7"/>
    <x v="4"/>
    <x v="3"/>
    <x v="4"/>
    <n v="1929.42"/>
    <x v="4"/>
    <n v="4070.88"/>
    <x v="292"/>
    <n v="849.14"/>
    <x v="1"/>
  </r>
  <r>
    <s v="ORD0294"/>
    <x v="151"/>
    <x v="38"/>
    <x v="8"/>
    <x v="3"/>
    <x v="2"/>
    <x v="2"/>
    <n v="4918.12"/>
    <x v="4"/>
    <n v="5656.92"/>
    <x v="293"/>
    <n v="2703.88"/>
    <x v="3"/>
  </r>
  <r>
    <s v="ORD0295"/>
    <x v="13"/>
    <x v="25"/>
    <x v="4"/>
    <x v="2"/>
    <x v="1"/>
    <x v="1"/>
    <n v="8317.99"/>
    <x v="0"/>
    <n v="25640.2"/>
    <x v="294"/>
    <n v="4304.5600000000004"/>
    <x v="3"/>
  </r>
  <r>
    <s v="ORD0296"/>
    <x v="192"/>
    <x v="8"/>
    <x v="5"/>
    <x v="3"/>
    <x v="0"/>
    <x v="0"/>
    <n v="3014.17"/>
    <x v="4"/>
    <n v="2514.38"/>
    <x v="295"/>
    <n v="47.66"/>
    <x v="0"/>
  </r>
  <r>
    <s v="ORD0297"/>
    <x v="18"/>
    <x v="3"/>
    <x v="7"/>
    <x v="4"/>
    <x v="0"/>
    <x v="2"/>
    <n v="1857.12"/>
    <x v="0"/>
    <n v="2197.8200000000002"/>
    <x v="296"/>
    <n v="1145"/>
    <x v="0"/>
  </r>
  <r>
    <s v="ORD0298"/>
    <x v="67"/>
    <x v="71"/>
    <x v="8"/>
    <x v="3"/>
    <x v="0"/>
    <x v="1"/>
    <n v="4505.95"/>
    <x v="2"/>
    <n v="11703.64"/>
    <x v="297"/>
    <n v="2715.4"/>
    <x v="1"/>
  </r>
  <r>
    <s v="ORD0299"/>
    <x v="44"/>
    <x v="92"/>
    <x v="5"/>
    <x v="3"/>
    <x v="1"/>
    <x v="3"/>
    <n v="3038.87"/>
    <x v="1"/>
    <n v="9237.5"/>
    <x v="298"/>
    <n v="5956.85"/>
    <x v="2"/>
  </r>
  <r>
    <s v="ORD0300"/>
    <x v="193"/>
    <x v="22"/>
    <x v="8"/>
    <x v="3"/>
    <x v="3"/>
    <x v="1"/>
    <n v="4437.41"/>
    <x v="0"/>
    <n v="14245.72"/>
    <x v="299"/>
    <n v="1728.96"/>
    <x v="3"/>
  </r>
  <r>
    <s v="ORD0301"/>
    <x v="194"/>
    <x v="69"/>
    <x v="5"/>
    <x v="3"/>
    <x v="2"/>
    <x v="3"/>
    <n v="3248.15"/>
    <x v="2"/>
    <n v="11122.05"/>
    <x v="300"/>
    <n v="1870.55"/>
    <x v="0"/>
  </r>
  <r>
    <s v="ORD0302"/>
    <x v="82"/>
    <x v="38"/>
    <x v="8"/>
    <x v="3"/>
    <x v="2"/>
    <x v="3"/>
    <n v="4072.11"/>
    <x v="3"/>
    <n v="14315.45"/>
    <x v="301"/>
    <n v="5027.07"/>
    <x v="2"/>
  </r>
  <r>
    <s v="ORD0303"/>
    <x v="105"/>
    <x v="93"/>
    <x v="0"/>
    <x v="0"/>
    <x v="2"/>
    <x v="2"/>
    <n v="21803.46"/>
    <x v="0"/>
    <n v="27630.799999999999"/>
    <x v="302"/>
    <n v="11615.43"/>
    <x v="1"/>
  </r>
  <r>
    <s v="ORD0304"/>
    <x v="140"/>
    <x v="86"/>
    <x v="7"/>
    <x v="4"/>
    <x v="0"/>
    <x v="0"/>
    <n v="1782.88"/>
    <x v="4"/>
    <n v="1314.9"/>
    <x v="303"/>
    <n v="200.55"/>
    <x v="2"/>
  </r>
  <r>
    <s v="ORD0305"/>
    <x v="188"/>
    <x v="93"/>
    <x v="1"/>
    <x v="0"/>
    <x v="1"/>
    <x v="4"/>
    <n v="51307.9"/>
    <x v="1"/>
    <n v="118682.01"/>
    <x v="304"/>
    <n v="35241.69"/>
    <x v="3"/>
  </r>
  <r>
    <s v="ORD0306"/>
    <x v="195"/>
    <x v="76"/>
    <x v="4"/>
    <x v="2"/>
    <x v="1"/>
    <x v="3"/>
    <n v="8044.15"/>
    <x v="4"/>
    <n v="33558.65"/>
    <x v="305"/>
    <n v="628.99"/>
    <x v="3"/>
  </r>
  <r>
    <s v="ORD0307"/>
    <x v="183"/>
    <x v="58"/>
    <x v="9"/>
    <x v="2"/>
    <x v="2"/>
    <x v="1"/>
    <n v="6998.03"/>
    <x v="1"/>
    <n v="19093.04"/>
    <x v="306"/>
    <n v="8899.08"/>
    <x v="0"/>
  </r>
  <r>
    <s v="ORD0308"/>
    <x v="12"/>
    <x v="65"/>
    <x v="1"/>
    <x v="0"/>
    <x v="0"/>
    <x v="2"/>
    <n v="57241.36"/>
    <x v="3"/>
    <n v="68154.48"/>
    <x v="307"/>
    <n v="40604.1"/>
    <x v="3"/>
  </r>
  <r>
    <s v="ORD0309"/>
    <x v="196"/>
    <x v="66"/>
    <x v="4"/>
    <x v="2"/>
    <x v="3"/>
    <x v="4"/>
    <n v="8096"/>
    <x v="3"/>
    <n v="16941.87"/>
    <x v="308"/>
    <n v="6131.73"/>
    <x v="0"/>
  </r>
  <r>
    <s v="ORD0310"/>
    <x v="32"/>
    <x v="31"/>
    <x v="8"/>
    <x v="3"/>
    <x v="1"/>
    <x v="1"/>
    <n v="4366.79"/>
    <x v="2"/>
    <n v="10414.040000000001"/>
    <x v="309"/>
    <n v="3559.69"/>
    <x v="1"/>
  </r>
  <r>
    <s v="ORD0311"/>
    <x v="197"/>
    <x v="81"/>
    <x v="8"/>
    <x v="3"/>
    <x v="0"/>
    <x v="3"/>
    <n v="4331.87"/>
    <x v="1"/>
    <n v="16155.6"/>
    <x v="310"/>
    <n v="5503.75"/>
    <x v="3"/>
  </r>
  <r>
    <s v="ORD0312"/>
    <x v="80"/>
    <x v="12"/>
    <x v="4"/>
    <x v="2"/>
    <x v="2"/>
    <x v="2"/>
    <n v="8663.92"/>
    <x v="2"/>
    <n v="11000.96"/>
    <x v="311"/>
    <n v="2861.31"/>
    <x v="3"/>
  </r>
  <r>
    <s v="ORD0313"/>
    <x v="172"/>
    <x v="60"/>
    <x v="7"/>
    <x v="4"/>
    <x v="3"/>
    <x v="3"/>
    <n v="1796.27"/>
    <x v="3"/>
    <n v="6198.55"/>
    <x v="312"/>
    <n v="2333.73"/>
    <x v="0"/>
  </r>
  <r>
    <s v="ORD0314"/>
    <x v="198"/>
    <x v="12"/>
    <x v="8"/>
    <x v="3"/>
    <x v="2"/>
    <x v="0"/>
    <n v="4486.1499999999996"/>
    <x v="0"/>
    <n v="3545.82"/>
    <x v="313"/>
    <n v="491.71"/>
    <x v="0"/>
  </r>
  <r>
    <s v="ORD0315"/>
    <x v="199"/>
    <x v="90"/>
    <x v="7"/>
    <x v="4"/>
    <x v="1"/>
    <x v="1"/>
    <n v="1649.76"/>
    <x v="4"/>
    <n v="4839.6400000000003"/>
    <x v="314"/>
    <n v="769.54"/>
    <x v="1"/>
  </r>
  <r>
    <s v="ORD0316"/>
    <x v="32"/>
    <x v="25"/>
    <x v="1"/>
    <x v="0"/>
    <x v="2"/>
    <x v="4"/>
    <n v="51350.3"/>
    <x v="3"/>
    <n v="112926.36"/>
    <x v="315"/>
    <n v="33422"/>
    <x v="2"/>
  </r>
  <r>
    <s v="ORD0317"/>
    <x v="100"/>
    <x v="15"/>
    <x v="8"/>
    <x v="3"/>
    <x v="0"/>
    <x v="0"/>
    <n v="4790.95"/>
    <x v="0"/>
    <n v="3347"/>
    <x v="316"/>
    <n v="964.85"/>
    <x v="0"/>
  </r>
  <r>
    <s v="ORD0318"/>
    <x v="19"/>
    <x v="86"/>
    <x v="5"/>
    <x v="3"/>
    <x v="0"/>
    <x v="2"/>
    <n v="3411.25"/>
    <x v="4"/>
    <n v="3683.86"/>
    <x v="317"/>
    <n v="2115.2600000000002"/>
    <x v="0"/>
  </r>
  <r>
    <s v="ORD0319"/>
    <x v="107"/>
    <x v="94"/>
    <x v="3"/>
    <x v="1"/>
    <x v="3"/>
    <x v="4"/>
    <n v="988.91"/>
    <x v="1"/>
    <n v="1781.37"/>
    <x v="318"/>
    <n v="1185.3599999999999"/>
    <x v="0"/>
  </r>
  <r>
    <s v="ORD0320"/>
    <x v="156"/>
    <x v="25"/>
    <x v="6"/>
    <x v="0"/>
    <x v="3"/>
    <x v="3"/>
    <n v="2656.76"/>
    <x v="3"/>
    <n v="9327.65"/>
    <x v="319"/>
    <n v="3291.96"/>
    <x v="1"/>
  </r>
  <r>
    <s v="ORD0321"/>
    <x v="118"/>
    <x v="65"/>
    <x v="8"/>
    <x v="3"/>
    <x v="3"/>
    <x v="3"/>
    <n v="4683.6499999999996"/>
    <x v="3"/>
    <n v="14195.55"/>
    <x v="320"/>
    <n v="8051.79"/>
    <x v="2"/>
  </r>
  <r>
    <s v="ORD0322"/>
    <x v="109"/>
    <x v="2"/>
    <x v="6"/>
    <x v="0"/>
    <x v="1"/>
    <x v="1"/>
    <n v="2683.52"/>
    <x v="1"/>
    <n v="7981.2"/>
    <x v="321"/>
    <n v="2752.88"/>
    <x v="3"/>
  </r>
  <r>
    <s v="ORD0323"/>
    <x v="196"/>
    <x v="70"/>
    <x v="6"/>
    <x v="0"/>
    <x v="3"/>
    <x v="4"/>
    <n v="2588.12"/>
    <x v="3"/>
    <n v="5552.76"/>
    <x v="322"/>
    <n v="1823.38"/>
    <x v="0"/>
  </r>
  <r>
    <s v="ORD0324"/>
    <x v="3"/>
    <x v="88"/>
    <x v="9"/>
    <x v="2"/>
    <x v="3"/>
    <x v="1"/>
    <n v="6994.16"/>
    <x v="1"/>
    <n v="18418.599999999999"/>
    <x v="323"/>
    <n v="9558.0400000000009"/>
    <x v="1"/>
  </r>
  <r>
    <s v="ORD0325"/>
    <x v="3"/>
    <x v="35"/>
    <x v="7"/>
    <x v="4"/>
    <x v="2"/>
    <x v="1"/>
    <n v="1932.81"/>
    <x v="0"/>
    <n v="5007.5200000000004"/>
    <x v="324"/>
    <n v="1950.6"/>
    <x v="1"/>
  </r>
  <r>
    <s v="ORD0326"/>
    <x v="200"/>
    <x v="11"/>
    <x v="0"/>
    <x v="0"/>
    <x v="3"/>
    <x v="3"/>
    <n v="21690.43"/>
    <x v="4"/>
    <n v="66490.3"/>
    <x v="325"/>
    <n v="25694.03"/>
    <x v="1"/>
  </r>
  <r>
    <s v="ORD0327"/>
    <x v="201"/>
    <x v="52"/>
    <x v="3"/>
    <x v="1"/>
    <x v="0"/>
    <x v="4"/>
    <n v="911.91"/>
    <x v="2"/>
    <n v="1875.12"/>
    <x v="326"/>
    <n v="313.45999999999998"/>
    <x v="2"/>
  </r>
  <r>
    <s v="ORD0328"/>
    <x v="202"/>
    <x v="85"/>
    <x v="0"/>
    <x v="0"/>
    <x v="0"/>
    <x v="1"/>
    <n v="23573.67"/>
    <x v="1"/>
    <n v="51133.2"/>
    <x v="327"/>
    <n v="43161.48"/>
    <x v="0"/>
  </r>
  <r>
    <s v="ORD0329"/>
    <x v="122"/>
    <x v="41"/>
    <x v="2"/>
    <x v="1"/>
    <x v="3"/>
    <x v="2"/>
    <n v="1955.78"/>
    <x v="0"/>
    <n v="2123.08"/>
    <x v="328"/>
    <n v="1397.32"/>
    <x v="1"/>
  </r>
  <r>
    <s v="ORD0330"/>
    <x v="203"/>
    <x v="53"/>
    <x v="0"/>
    <x v="0"/>
    <x v="1"/>
    <x v="4"/>
    <n v="22552.66"/>
    <x v="3"/>
    <n v="37154.49"/>
    <x v="329"/>
    <n v="27120.59"/>
    <x v="0"/>
  </r>
  <r>
    <s v="ORD0331"/>
    <x v="56"/>
    <x v="18"/>
    <x v="0"/>
    <x v="0"/>
    <x v="2"/>
    <x v="0"/>
    <n v="20142.93"/>
    <x v="1"/>
    <n v="13273.82"/>
    <x v="330"/>
    <n v="6869.11"/>
    <x v="2"/>
  </r>
  <r>
    <s v="ORD0332"/>
    <x v="99"/>
    <x v="87"/>
    <x v="1"/>
    <x v="0"/>
    <x v="0"/>
    <x v="4"/>
    <n v="54145.45"/>
    <x v="1"/>
    <n v="131511.39000000001"/>
    <x v="331"/>
    <n v="30924.959999999999"/>
    <x v="3"/>
  </r>
  <r>
    <s v="ORD0333"/>
    <x v="204"/>
    <x v="21"/>
    <x v="9"/>
    <x v="2"/>
    <x v="2"/>
    <x v="0"/>
    <n v="6327.83"/>
    <x v="1"/>
    <n v="3742.7"/>
    <x v="332"/>
    <n v="2585.13"/>
    <x v="3"/>
  </r>
  <r>
    <s v="ORD0334"/>
    <x v="205"/>
    <x v="40"/>
    <x v="6"/>
    <x v="0"/>
    <x v="3"/>
    <x v="0"/>
    <n v="2555.16"/>
    <x v="2"/>
    <n v="1727.06"/>
    <x v="333"/>
    <n v="317.07"/>
    <x v="3"/>
  </r>
  <r>
    <s v="ORD0335"/>
    <x v="206"/>
    <x v="22"/>
    <x v="6"/>
    <x v="0"/>
    <x v="1"/>
    <x v="1"/>
    <n v="2679.98"/>
    <x v="2"/>
    <n v="7216.4"/>
    <x v="334"/>
    <n v="1359.54"/>
    <x v="2"/>
  </r>
  <r>
    <s v="ORD0336"/>
    <x v="172"/>
    <x v="43"/>
    <x v="8"/>
    <x v="3"/>
    <x v="3"/>
    <x v="1"/>
    <n v="4333.05"/>
    <x v="0"/>
    <n v="14234.6"/>
    <x v="335"/>
    <n v="1364.38"/>
    <x v="2"/>
  </r>
  <r>
    <s v="ORD0337"/>
    <x v="95"/>
    <x v="34"/>
    <x v="2"/>
    <x v="1"/>
    <x v="3"/>
    <x v="3"/>
    <n v="1838.73"/>
    <x v="2"/>
    <n v="6300"/>
    <x v="336"/>
    <n v="1054.92"/>
    <x v="3"/>
  </r>
  <r>
    <s v="ORD0338"/>
    <x v="148"/>
    <x v="54"/>
    <x v="5"/>
    <x v="3"/>
    <x v="1"/>
    <x v="3"/>
    <n v="3130.72"/>
    <x v="2"/>
    <n v="9554.6"/>
    <x v="337"/>
    <n v="2968.28"/>
    <x v="0"/>
  </r>
  <r>
    <s v="ORD0339"/>
    <x v="207"/>
    <x v="95"/>
    <x v="9"/>
    <x v="2"/>
    <x v="3"/>
    <x v="0"/>
    <n v="6622.11"/>
    <x v="3"/>
    <n v="4386.82"/>
    <x v="338"/>
    <n v="1904.18"/>
    <x v="1"/>
  </r>
  <r>
    <s v="ORD0340"/>
    <x v="75"/>
    <x v="90"/>
    <x v="6"/>
    <x v="0"/>
    <x v="2"/>
    <x v="1"/>
    <n v="2523.1799999999998"/>
    <x v="2"/>
    <n v="6552.16"/>
    <x v="339"/>
    <n v="1522.02"/>
    <x v="2"/>
  </r>
  <r>
    <s v="ORD0341"/>
    <x v="156"/>
    <x v="51"/>
    <x v="1"/>
    <x v="0"/>
    <x v="3"/>
    <x v="3"/>
    <n v="51873.17"/>
    <x v="1"/>
    <n v="152198.29999999999"/>
    <x v="340"/>
    <n v="107167.55"/>
    <x v="0"/>
  </r>
  <r>
    <s v="ORD0342"/>
    <x v="185"/>
    <x v="6"/>
    <x v="9"/>
    <x v="2"/>
    <x v="0"/>
    <x v="1"/>
    <n v="6548.95"/>
    <x v="1"/>
    <n v="18463.48"/>
    <x v="341"/>
    <n v="7732.32"/>
    <x v="1"/>
  </r>
  <r>
    <s v="ORD0343"/>
    <x v="57"/>
    <x v="51"/>
    <x v="0"/>
    <x v="0"/>
    <x v="0"/>
    <x v="3"/>
    <n v="20483.66"/>
    <x v="3"/>
    <n v="87293.6"/>
    <x v="342"/>
    <n v="10003.780000000001"/>
    <x v="1"/>
  </r>
  <r>
    <s v="ORD0344"/>
    <x v="35"/>
    <x v="85"/>
    <x v="9"/>
    <x v="2"/>
    <x v="0"/>
    <x v="2"/>
    <n v="7052.02"/>
    <x v="1"/>
    <n v="7944.56"/>
    <x v="343"/>
    <n v="6159.48"/>
    <x v="1"/>
  </r>
  <r>
    <s v="ORD0345"/>
    <x v="171"/>
    <x v="11"/>
    <x v="6"/>
    <x v="0"/>
    <x v="3"/>
    <x v="0"/>
    <n v="2600.75"/>
    <x v="1"/>
    <n v="1817.44"/>
    <x v="344"/>
    <n v="783.31"/>
    <x v="1"/>
  </r>
  <r>
    <s v="ORD0346"/>
    <x v="208"/>
    <x v="17"/>
    <x v="6"/>
    <x v="0"/>
    <x v="0"/>
    <x v="4"/>
    <n v="2686.73"/>
    <x v="3"/>
    <n v="5530.83"/>
    <x v="345"/>
    <n v="2126.35"/>
    <x v="1"/>
  </r>
  <r>
    <s v="ORD0347"/>
    <x v="209"/>
    <x v="76"/>
    <x v="9"/>
    <x v="2"/>
    <x v="0"/>
    <x v="4"/>
    <n v="6776.02"/>
    <x v="2"/>
    <n v="11036.37"/>
    <x v="346"/>
    <n v="5226.08"/>
    <x v="0"/>
  </r>
  <r>
    <s v="ORD0348"/>
    <x v="210"/>
    <x v="69"/>
    <x v="7"/>
    <x v="4"/>
    <x v="1"/>
    <x v="3"/>
    <n v="1929.37"/>
    <x v="0"/>
    <n v="5074.75"/>
    <x v="347"/>
    <n v="3607.41"/>
    <x v="1"/>
  </r>
  <r>
    <s v="ORD0349"/>
    <x v="211"/>
    <x v="95"/>
    <x v="0"/>
    <x v="0"/>
    <x v="1"/>
    <x v="3"/>
    <n v="22038.83"/>
    <x v="1"/>
    <n v="66781.100000000006"/>
    <x v="348"/>
    <n v="43413.05"/>
    <x v="2"/>
  </r>
  <r>
    <s v="ORD0350"/>
    <x v="142"/>
    <x v="56"/>
    <x v="7"/>
    <x v="4"/>
    <x v="2"/>
    <x v="4"/>
    <n v="1684.43"/>
    <x v="4"/>
    <n v="4212.3"/>
    <x v="349"/>
    <n v="83"/>
    <x v="3"/>
  </r>
  <r>
    <s v="ORD0351"/>
    <x v="212"/>
    <x v="65"/>
    <x v="4"/>
    <x v="2"/>
    <x v="3"/>
    <x v="2"/>
    <n v="8193.89"/>
    <x v="4"/>
    <n v="13242.38"/>
    <x v="350"/>
    <n v="687.23"/>
    <x v="2"/>
  </r>
  <r>
    <s v="ORD0352"/>
    <x v="213"/>
    <x v="88"/>
    <x v="5"/>
    <x v="3"/>
    <x v="0"/>
    <x v="0"/>
    <n v="3210.1"/>
    <x v="3"/>
    <n v="1938.55"/>
    <x v="351"/>
    <n v="1111.04"/>
    <x v="0"/>
  </r>
  <r>
    <s v="ORD0353"/>
    <x v="123"/>
    <x v="33"/>
    <x v="3"/>
    <x v="1"/>
    <x v="3"/>
    <x v="4"/>
    <n v="892.21"/>
    <x v="0"/>
    <n v="1543.32"/>
    <x v="352"/>
    <n v="865.65"/>
    <x v="1"/>
  </r>
  <r>
    <s v="ORD0354"/>
    <x v="214"/>
    <x v="35"/>
    <x v="8"/>
    <x v="3"/>
    <x v="1"/>
    <x v="2"/>
    <n v="4924.67"/>
    <x v="4"/>
    <n v="5778.62"/>
    <x v="353"/>
    <n v="2593.3200000000002"/>
    <x v="3"/>
  </r>
  <r>
    <s v="ORD0355"/>
    <x v="215"/>
    <x v="95"/>
    <x v="1"/>
    <x v="0"/>
    <x v="3"/>
    <x v="1"/>
    <n v="53310.66"/>
    <x v="1"/>
    <n v="133814.88"/>
    <x v="354"/>
    <n v="79427.759999999995"/>
    <x v="2"/>
  </r>
  <r>
    <s v="ORD0356"/>
    <x v="55"/>
    <x v="19"/>
    <x v="9"/>
    <x v="2"/>
    <x v="0"/>
    <x v="4"/>
    <n v="7128.05"/>
    <x v="1"/>
    <n v="11725.32"/>
    <x v="355"/>
    <n v="9658.83"/>
    <x v="3"/>
  </r>
  <r>
    <s v="ORD0357"/>
    <x v="216"/>
    <x v="32"/>
    <x v="3"/>
    <x v="1"/>
    <x v="3"/>
    <x v="0"/>
    <n v="971.51"/>
    <x v="1"/>
    <n v="702.29"/>
    <x v="356"/>
    <n v="269.22000000000003"/>
    <x v="0"/>
  </r>
  <r>
    <s v="ORD0358"/>
    <x v="217"/>
    <x v="29"/>
    <x v="0"/>
    <x v="0"/>
    <x v="0"/>
    <x v="3"/>
    <n v="22603.75"/>
    <x v="1"/>
    <n v="74399.25"/>
    <x v="357"/>
    <n v="38619.5"/>
    <x v="0"/>
  </r>
  <r>
    <s v="ORD0359"/>
    <x v="217"/>
    <x v="2"/>
    <x v="6"/>
    <x v="0"/>
    <x v="3"/>
    <x v="2"/>
    <n v="2407.5"/>
    <x v="0"/>
    <n v="3076.24"/>
    <x v="358"/>
    <n v="1257.26"/>
    <x v="1"/>
  </r>
  <r>
    <s v="ORD0360"/>
    <x v="218"/>
    <x v="28"/>
    <x v="7"/>
    <x v="4"/>
    <x v="1"/>
    <x v="4"/>
    <n v="1692.98"/>
    <x v="3"/>
    <n v="3070.83"/>
    <x v="359"/>
    <n v="1754.16"/>
    <x v="2"/>
  </r>
  <r>
    <s v="ORD0361"/>
    <x v="96"/>
    <x v="17"/>
    <x v="6"/>
    <x v="0"/>
    <x v="1"/>
    <x v="1"/>
    <n v="2310.37"/>
    <x v="4"/>
    <n v="6285.08"/>
    <x v="360"/>
    <n v="1570.18"/>
    <x v="0"/>
  </r>
  <r>
    <s v="ORD0362"/>
    <x v="72"/>
    <x v="86"/>
    <x v="3"/>
    <x v="1"/>
    <x v="0"/>
    <x v="1"/>
    <n v="826.28"/>
    <x v="0"/>
    <n v="2747.24"/>
    <x v="361"/>
    <n v="227.37"/>
    <x v="3"/>
  </r>
  <r>
    <s v="ORD0363"/>
    <x v="219"/>
    <x v="96"/>
    <x v="4"/>
    <x v="2"/>
    <x v="0"/>
    <x v="2"/>
    <n v="9296.2800000000007"/>
    <x v="1"/>
    <n v="12372.42"/>
    <x v="362"/>
    <n v="6220.14"/>
    <x v="1"/>
  </r>
  <r>
    <s v="ORD0364"/>
    <x v="220"/>
    <x v="46"/>
    <x v="3"/>
    <x v="1"/>
    <x v="1"/>
    <x v="2"/>
    <n v="963.83"/>
    <x v="1"/>
    <n v="1418.44"/>
    <x v="363"/>
    <n v="509.22"/>
    <x v="2"/>
  </r>
  <r>
    <s v="ORD0365"/>
    <x v="39"/>
    <x v="77"/>
    <x v="7"/>
    <x v="4"/>
    <x v="1"/>
    <x v="0"/>
    <n v="1642.2"/>
    <x v="3"/>
    <n v="1044.6500000000001"/>
    <x v="364"/>
    <n v="515.44000000000005"/>
    <x v="0"/>
  </r>
  <r>
    <s v="ORD0366"/>
    <x v="221"/>
    <x v="48"/>
    <x v="4"/>
    <x v="2"/>
    <x v="0"/>
    <x v="0"/>
    <n v="9209.6299999999992"/>
    <x v="2"/>
    <n v="5920.5"/>
    <x v="365"/>
    <n v="1447.2"/>
    <x v="3"/>
  </r>
  <r>
    <s v="ORD0367"/>
    <x v="41"/>
    <x v="4"/>
    <x v="7"/>
    <x v="4"/>
    <x v="0"/>
    <x v="2"/>
    <n v="1918.57"/>
    <x v="1"/>
    <n v="2794.58"/>
    <x v="366"/>
    <n v="1042.56"/>
    <x v="0"/>
  </r>
  <r>
    <s v="ORD0368"/>
    <x v="184"/>
    <x v="34"/>
    <x v="1"/>
    <x v="0"/>
    <x v="2"/>
    <x v="2"/>
    <n v="57468.74"/>
    <x v="2"/>
    <n v="72411.8"/>
    <x v="367"/>
    <n v="19538.18"/>
    <x v="0"/>
  </r>
  <r>
    <s v="ORD0369"/>
    <x v="194"/>
    <x v="89"/>
    <x v="6"/>
    <x v="0"/>
    <x v="0"/>
    <x v="4"/>
    <n v="2387.4899999999998"/>
    <x v="3"/>
    <n v="5828.07"/>
    <x v="368"/>
    <n v="976.28"/>
    <x v="3"/>
  </r>
  <r>
    <s v="ORD0370"/>
    <x v="206"/>
    <x v="6"/>
    <x v="3"/>
    <x v="1"/>
    <x v="2"/>
    <x v="1"/>
    <n v="896.23"/>
    <x v="4"/>
    <n v="2774.52"/>
    <x v="369"/>
    <n v="272.66000000000003"/>
    <x v="3"/>
  </r>
  <r>
    <s v="ORD0371"/>
    <x v="34"/>
    <x v="48"/>
    <x v="9"/>
    <x v="2"/>
    <x v="2"/>
    <x v="2"/>
    <n v="7142.31"/>
    <x v="2"/>
    <n v="7959.74"/>
    <x v="370"/>
    <n v="3467.96"/>
    <x v="1"/>
  </r>
  <r>
    <s v="ORD0372"/>
    <x v="180"/>
    <x v="12"/>
    <x v="7"/>
    <x v="4"/>
    <x v="3"/>
    <x v="3"/>
    <n v="1823.63"/>
    <x v="4"/>
    <n v="5724.1"/>
    <x v="371"/>
    <n v="2026.33"/>
    <x v="3"/>
  </r>
  <r>
    <s v="ORD0373"/>
    <x v="104"/>
    <x v="23"/>
    <x v="1"/>
    <x v="0"/>
    <x v="2"/>
    <x v="4"/>
    <n v="59353.41"/>
    <x v="2"/>
    <n v="99784.59"/>
    <x v="372"/>
    <n v="42663.59"/>
    <x v="1"/>
  </r>
  <r>
    <s v="ORD0374"/>
    <x v="222"/>
    <x v="10"/>
    <x v="8"/>
    <x v="3"/>
    <x v="0"/>
    <x v="2"/>
    <n v="4641.18"/>
    <x v="3"/>
    <n v="5175.3"/>
    <x v="373"/>
    <n v="3642.94"/>
    <x v="3"/>
  </r>
  <r>
    <s v="ORD0375"/>
    <x v="75"/>
    <x v="80"/>
    <x v="8"/>
    <x v="3"/>
    <x v="1"/>
    <x v="1"/>
    <n v="4942.3900000000003"/>
    <x v="0"/>
    <n v="14108.44"/>
    <x v="374"/>
    <n v="3684.16"/>
    <x v="1"/>
  </r>
  <r>
    <s v="ORD0376"/>
    <x v="223"/>
    <x v="25"/>
    <x v="4"/>
    <x v="2"/>
    <x v="1"/>
    <x v="3"/>
    <n v="8247.86"/>
    <x v="1"/>
    <n v="30849.200000000001"/>
    <x v="375"/>
    <n v="10390.1"/>
    <x v="3"/>
  </r>
  <r>
    <s v="ORD0377"/>
    <x v="179"/>
    <x v="57"/>
    <x v="7"/>
    <x v="4"/>
    <x v="1"/>
    <x v="3"/>
    <n v="1633.67"/>
    <x v="0"/>
    <n v="5345"/>
    <x v="376"/>
    <n v="2006.52"/>
    <x v="2"/>
  </r>
  <r>
    <s v="ORD0378"/>
    <x v="112"/>
    <x v="52"/>
    <x v="5"/>
    <x v="3"/>
    <x v="1"/>
    <x v="1"/>
    <n v="3273.05"/>
    <x v="1"/>
    <n v="8101.56"/>
    <x v="377"/>
    <n v="4990.6400000000003"/>
    <x v="1"/>
  </r>
  <r>
    <s v="ORD0379"/>
    <x v="224"/>
    <x v="66"/>
    <x v="1"/>
    <x v="0"/>
    <x v="3"/>
    <x v="0"/>
    <n v="59589.47"/>
    <x v="3"/>
    <n v="38315.879999999997"/>
    <x v="378"/>
    <n v="18294.12"/>
    <x v="2"/>
  </r>
  <r>
    <s v="ORD0380"/>
    <x v="225"/>
    <x v="61"/>
    <x v="4"/>
    <x v="2"/>
    <x v="2"/>
    <x v="1"/>
    <n v="8163"/>
    <x v="2"/>
    <n v="19558.759999999998"/>
    <x v="379"/>
    <n v="6562.84"/>
    <x v="0"/>
  </r>
  <r>
    <s v="ORD0381"/>
    <x v="226"/>
    <x v="18"/>
    <x v="4"/>
    <x v="2"/>
    <x v="1"/>
    <x v="2"/>
    <n v="9229.0400000000009"/>
    <x v="2"/>
    <n v="12297.64"/>
    <x v="380"/>
    <n v="2468.8200000000002"/>
    <x v="0"/>
  </r>
  <r>
    <s v="ORD0382"/>
    <x v="227"/>
    <x v="65"/>
    <x v="3"/>
    <x v="1"/>
    <x v="2"/>
    <x v="4"/>
    <n v="810.32"/>
    <x v="3"/>
    <n v="1604.94"/>
    <x v="381"/>
    <n v="704.47"/>
    <x v="2"/>
  </r>
  <r>
    <s v="ORD0383"/>
    <x v="39"/>
    <x v="82"/>
    <x v="6"/>
    <x v="0"/>
    <x v="0"/>
    <x v="3"/>
    <n v="2733.77"/>
    <x v="0"/>
    <n v="9753.25"/>
    <x v="382"/>
    <n v="2548.7199999999998"/>
    <x v="0"/>
  </r>
  <r>
    <s v="ORD0384"/>
    <x v="210"/>
    <x v="82"/>
    <x v="6"/>
    <x v="0"/>
    <x v="0"/>
    <x v="4"/>
    <n v="2741.19"/>
    <x v="1"/>
    <n v="4571.25"/>
    <x v="383"/>
    <n v="3652.32"/>
    <x v="1"/>
  </r>
  <r>
    <s v="ORD0385"/>
    <x v="228"/>
    <x v="64"/>
    <x v="7"/>
    <x v="4"/>
    <x v="0"/>
    <x v="0"/>
    <n v="1869.54"/>
    <x v="0"/>
    <n v="1084.3599999999999"/>
    <x v="384"/>
    <n v="598.23"/>
    <x v="2"/>
  </r>
  <r>
    <s v="ORD0386"/>
    <x v="229"/>
    <x v="11"/>
    <x v="1"/>
    <x v="0"/>
    <x v="2"/>
    <x v="1"/>
    <n v="60160.12"/>
    <x v="4"/>
    <n v="161292.16"/>
    <x v="385"/>
    <n v="43252.25"/>
    <x v="1"/>
  </r>
  <r>
    <s v="ORD0387"/>
    <x v="209"/>
    <x v="97"/>
    <x v="5"/>
    <x v="3"/>
    <x v="1"/>
    <x v="1"/>
    <n v="3384.79"/>
    <x v="1"/>
    <n v="9692.2000000000007"/>
    <x v="386"/>
    <n v="3846.96"/>
    <x v="3"/>
  </r>
  <r>
    <s v="ORD0388"/>
    <x v="82"/>
    <x v="29"/>
    <x v="7"/>
    <x v="4"/>
    <x v="3"/>
    <x v="0"/>
    <n v="1734.74"/>
    <x v="1"/>
    <n v="1122.71"/>
    <x v="387"/>
    <n v="612.03"/>
    <x v="3"/>
  </r>
  <r>
    <s v="ORD0389"/>
    <x v="3"/>
    <x v="52"/>
    <x v="9"/>
    <x v="2"/>
    <x v="2"/>
    <x v="2"/>
    <n v="7017.56"/>
    <x v="1"/>
    <n v="8927.9"/>
    <x v="388"/>
    <n v="5107.22"/>
    <x v="2"/>
  </r>
  <r>
    <s v="ORD0390"/>
    <x v="129"/>
    <x v="37"/>
    <x v="9"/>
    <x v="2"/>
    <x v="1"/>
    <x v="2"/>
    <n v="6054.23"/>
    <x v="2"/>
    <n v="10041.700000000001"/>
    <x v="389"/>
    <n v="-354.93"/>
    <x v="3"/>
  </r>
  <r>
    <s v="ORD0391"/>
    <x v="107"/>
    <x v="22"/>
    <x v="9"/>
    <x v="2"/>
    <x v="0"/>
    <x v="3"/>
    <n v="6215.98"/>
    <x v="2"/>
    <n v="20030.3"/>
    <x v="390"/>
    <n v="4833.62"/>
    <x v="0"/>
  </r>
  <r>
    <s v="ORD0392"/>
    <x v="108"/>
    <x v="41"/>
    <x v="8"/>
    <x v="3"/>
    <x v="3"/>
    <x v="3"/>
    <n v="4374.75"/>
    <x v="4"/>
    <n v="13238.95"/>
    <x v="391"/>
    <n v="5353.74"/>
    <x v="0"/>
  </r>
  <r>
    <s v="ORD0393"/>
    <x v="91"/>
    <x v="78"/>
    <x v="2"/>
    <x v="1"/>
    <x v="0"/>
    <x v="0"/>
    <n v="1849.75"/>
    <x v="1"/>
    <n v="1083.1300000000001"/>
    <x v="392"/>
    <n v="766.62"/>
    <x v="1"/>
  </r>
  <r>
    <s v="ORD0394"/>
    <x v="230"/>
    <x v="15"/>
    <x v="9"/>
    <x v="2"/>
    <x v="2"/>
    <x v="1"/>
    <n v="6194.51"/>
    <x v="4"/>
    <n v="20116.72"/>
    <x v="393"/>
    <n v="944.61"/>
    <x v="3"/>
  </r>
  <r>
    <s v="ORD0395"/>
    <x v="202"/>
    <x v="44"/>
    <x v="4"/>
    <x v="2"/>
    <x v="3"/>
    <x v="1"/>
    <n v="7725.85"/>
    <x v="0"/>
    <n v="20285.96"/>
    <x v="394"/>
    <n v="7527.1"/>
    <x v="3"/>
  </r>
  <r>
    <s v="ORD0396"/>
    <x v="231"/>
    <x v="47"/>
    <x v="3"/>
    <x v="1"/>
    <x v="3"/>
    <x v="3"/>
    <n v="935.36"/>
    <x v="1"/>
    <n v="2645"/>
    <x v="395"/>
    <n v="2031.8"/>
    <x v="0"/>
  </r>
  <r>
    <s v="ORD0397"/>
    <x v="232"/>
    <x v="71"/>
    <x v="8"/>
    <x v="3"/>
    <x v="2"/>
    <x v="2"/>
    <n v="4398.3999999999996"/>
    <x v="2"/>
    <n v="5087.22"/>
    <x v="396"/>
    <n v="1950.22"/>
    <x v="3"/>
  </r>
  <r>
    <s v="ORD0398"/>
    <x v="233"/>
    <x v="14"/>
    <x v="7"/>
    <x v="4"/>
    <x v="1"/>
    <x v="4"/>
    <n v="1927.42"/>
    <x v="1"/>
    <n v="3502.98"/>
    <x v="397"/>
    <n v="2279.2800000000002"/>
    <x v="2"/>
  </r>
  <r>
    <s v="ORD0399"/>
    <x v="109"/>
    <x v="36"/>
    <x v="7"/>
    <x v="4"/>
    <x v="2"/>
    <x v="2"/>
    <n v="1911.05"/>
    <x v="3"/>
    <n v="2854.94"/>
    <x v="398"/>
    <n v="776.05"/>
    <x v="2"/>
  </r>
  <r>
    <s v="ORD0400"/>
    <x v="140"/>
    <x v="41"/>
    <x v="9"/>
    <x v="2"/>
    <x v="2"/>
    <x v="2"/>
    <n v="6185.25"/>
    <x v="3"/>
    <n v="9860.86"/>
    <x v="399"/>
    <n v="1891.11"/>
    <x v="0"/>
  </r>
  <r>
    <s v="ORD0401"/>
    <x v="234"/>
    <x v="2"/>
    <x v="5"/>
    <x v="3"/>
    <x v="2"/>
    <x v="4"/>
    <n v="3466.98"/>
    <x v="0"/>
    <n v="6527.25"/>
    <x v="400"/>
    <n v="2833.6"/>
    <x v="2"/>
  </r>
  <r>
    <s v="ORD0402"/>
    <x v="129"/>
    <x v="28"/>
    <x v="9"/>
    <x v="2"/>
    <x v="0"/>
    <x v="2"/>
    <n v="6607.48"/>
    <x v="3"/>
    <n v="8991.44"/>
    <x v="401"/>
    <n v="3562.77"/>
    <x v="1"/>
  </r>
  <r>
    <s v="ORD0403"/>
    <x v="235"/>
    <x v="55"/>
    <x v="5"/>
    <x v="3"/>
    <x v="2"/>
    <x v="4"/>
    <n v="3299.06"/>
    <x v="4"/>
    <n v="5913.93"/>
    <x v="402"/>
    <n v="2498.67"/>
    <x v="2"/>
  </r>
  <r>
    <s v="ORD0404"/>
    <x v="215"/>
    <x v="88"/>
    <x v="6"/>
    <x v="0"/>
    <x v="0"/>
    <x v="4"/>
    <n v="2554.33"/>
    <x v="4"/>
    <n v="4394.7299999999996"/>
    <x v="403"/>
    <n v="2118.81"/>
    <x v="0"/>
  </r>
  <r>
    <s v="ORD0405"/>
    <x v="102"/>
    <x v="48"/>
    <x v="4"/>
    <x v="2"/>
    <x v="3"/>
    <x v="2"/>
    <n v="9215.42"/>
    <x v="1"/>
    <n v="12519.44"/>
    <x v="404"/>
    <n v="5911.4"/>
    <x v="1"/>
  </r>
  <r>
    <s v="ORD0406"/>
    <x v="236"/>
    <x v="21"/>
    <x v="3"/>
    <x v="1"/>
    <x v="3"/>
    <x v="4"/>
    <n v="933.27"/>
    <x v="4"/>
    <n v="2064.3000000000002"/>
    <x v="405"/>
    <n v="315.54000000000002"/>
    <x v="0"/>
  </r>
  <r>
    <s v="ORD0407"/>
    <x v="47"/>
    <x v="9"/>
    <x v="4"/>
    <x v="2"/>
    <x v="2"/>
    <x v="4"/>
    <n v="7801.79"/>
    <x v="4"/>
    <n v="17881.740000000002"/>
    <x v="406"/>
    <n v="2012.82"/>
    <x v="0"/>
  </r>
  <r>
    <s v="ORD0408"/>
    <x v="237"/>
    <x v="5"/>
    <x v="5"/>
    <x v="3"/>
    <x v="2"/>
    <x v="4"/>
    <n v="2981.74"/>
    <x v="1"/>
    <n v="6516.66"/>
    <x v="407"/>
    <n v="2428.56"/>
    <x v="3"/>
  </r>
  <r>
    <s v="ORD0409"/>
    <x v="150"/>
    <x v="23"/>
    <x v="5"/>
    <x v="3"/>
    <x v="1"/>
    <x v="3"/>
    <n v="3440.12"/>
    <x v="1"/>
    <n v="9494.9500000000007"/>
    <x v="408"/>
    <n v="7705.65"/>
    <x v="2"/>
  </r>
  <r>
    <s v="ORD0410"/>
    <x v="65"/>
    <x v="14"/>
    <x v="7"/>
    <x v="4"/>
    <x v="2"/>
    <x v="0"/>
    <n v="1718.63"/>
    <x v="0"/>
    <n v="1307.0899999999999"/>
    <x v="409"/>
    <n v="239.68"/>
    <x v="2"/>
  </r>
  <r>
    <s v="ORD0411"/>
    <x v="111"/>
    <x v="58"/>
    <x v="1"/>
    <x v="0"/>
    <x v="3"/>
    <x v="2"/>
    <n v="54407.14"/>
    <x v="0"/>
    <n v="73941.64"/>
    <x v="410"/>
    <n v="23991.21"/>
    <x v="1"/>
  </r>
  <r>
    <s v="ORD0412"/>
    <x v="171"/>
    <x v="65"/>
    <x v="6"/>
    <x v="0"/>
    <x v="1"/>
    <x v="4"/>
    <n v="2443.2800000000002"/>
    <x v="1"/>
    <n v="4659.51"/>
    <x v="411"/>
    <n v="2670.33"/>
    <x v="3"/>
  </r>
  <r>
    <s v="ORD0413"/>
    <x v="7"/>
    <x v="95"/>
    <x v="2"/>
    <x v="1"/>
    <x v="2"/>
    <x v="2"/>
    <n v="1804.78"/>
    <x v="0"/>
    <n v="2566.42"/>
    <x v="412"/>
    <n v="682.18"/>
    <x v="3"/>
  </r>
  <r>
    <s v="ORD0414"/>
    <x v="74"/>
    <x v="98"/>
    <x v="6"/>
    <x v="0"/>
    <x v="3"/>
    <x v="3"/>
    <n v="2554.17"/>
    <x v="1"/>
    <n v="7574.3"/>
    <x v="413"/>
    <n v="5196.55"/>
    <x v="0"/>
  </r>
  <r>
    <s v="ORD0415"/>
    <x v="190"/>
    <x v="93"/>
    <x v="9"/>
    <x v="2"/>
    <x v="2"/>
    <x v="4"/>
    <n v="6456.71"/>
    <x v="4"/>
    <n v="11953.5"/>
    <x v="414"/>
    <n v="4511.1099999999997"/>
    <x v="2"/>
  </r>
  <r>
    <s v="ORD0416"/>
    <x v="238"/>
    <x v="86"/>
    <x v="1"/>
    <x v="0"/>
    <x v="0"/>
    <x v="3"/>
    <n v="56031.5"/>
    <x v="0"/>
    <n v="189850.2"/>
    <x v="415"/>
    <n v="62291.55"/>
    <x v="0"/>
  </r>
  <r>
    <s v="ORD0417"/>
    <x v="239"/>
    <x v="97"/>
    <x v="0"/>
    <x v="0"/>
    <x v="3"/>
    <x v="4"/>
    <n v="23590.560000000001"/>
    <x v="0"/>
    <n v="46869.81"/>
    <x v="416"/>
    <n v="16824.7"/>
    <x v="3"/>
  </r>
  <r>
    <s v="ORD0418"/>
    <x v="240"/>
    <x v="88"/>
    <x v="6"/>
    <x v="0"/>
    <x v="3"/>
    <x v="3"/>
    <n v="2652.71"/>
    <x v="3"/>
    <n v="9686.5"/>
    <x v="417"/>
    <n v="2913.87"/>
    <x v="3"/>
  </r>
  <r>
    <s v="ORD0419"/>
    <x v="241"/>
    <x v="91"/>
    <x v="1"/>
    <x v="0"/>
    <x v="0"/>
    <x v="1"/>
    <n v="54104.22"/>
    <x v="0"/>
    <n v="135268.44"/>
    <x v="418"/>
    <n v="59506.75"/>
    <x v="3"/>
  </r>
  <r>
    <s v="ORD0420"/>
    <x v="182"/>
    <x v="92"/>
    <x v="4"/>
    <x v="2"/>
    <x v="3"/>
    <x v="2"/>
    <n v="8458.75"/>
    <x v="2"/>
    <n v="12062.84"/>
    <x v="419"/>
    <n v="1471.16"/>
    <x v="3"/>
  </r>
  <r>
    <s v="ORD0421"/>
    <x v="66"/>
    <x v="72"/>
    <x v="5"/>
    <x v="3"/>
    <x v="1"/>
    <x v="2"/>
    <n v="2961.88"/>
    <x v="0"/>
    <n v="3676.16"/>
    <x v="420"/>
    <n v="1655.22"/>
    <x v="1"/>
  </r>
  <r>
    <s v="ORD0422"/>
    <x v="242"/>
    <x v="37"/>
    <x v="0"/>
    <x v="0"/>
    <x v="3"/>
    <x v="2"/>
    <n v="23634.3"/>
    <x v="0"/>
    <n v="26656.6"/>
    <x v="421"/>
    <n v="15885.14"/>
    <x v="1"/>
  </r>
  <r>
    <s v="ORD0423"/>
    <x v="36"/>
    <x v="84"/>
    <x v="8"/>
    <x v="3"/>
    <x v="0"/>
    <x v="4"/>
    <n v="4473.4799999999996"/>
    <x v="4"/>
    <n v="10297.86"/>
    <x v="422"/>
    <n v="1109.51"/>
    <x v="0"/>
  </r>
  <r>
    <s v="ORD0424"/>
    <x v="243"/>
    <x v="32"/>
    <x v="2"/>
    <x v="1"/>
    <x v="0"/>
    <x v="3"/>
    <n v="1757.4"/>
    <x v="1"/>
    <n v="6901.85"/>
    <x v="423"/>
    <n v="1885.15"/>
    <x v="3"/>
  </r>
  <r>
    <s v="ORD0425"/>
    <x v="32"/>
    <x v="70"/>
    <x v="6"/>
    <x v="0"/>
    <x v="3"/>
    <x v="2"/>
    <n v="2534.6999999999998"/>
    <x v="0"/>
    <n v="3261.48"/>
    <x v="424"/>
    <n v="1300.98"/>
    <x v="3"/>
  </r>
  <r>
    <s v="ORD0426"/>
    <x v="36"/>
    <x v="23"/>
    <x v="0"/>
    <x v="0"/>
    <x v="0"/>
    <x v="1"/>
    <n v="20578.03"/>
    <x v="0"/>
    <n v="62282.720000000001"/>
    <x v="425"/>
    <n v="11798.19"/>
    <x v="0"/>
  </r>
  <r>
    <s v="ORD0427"/>
    <x v="244"/>
    <x v="77"/>
    <x v="3"/>
    <x v="1"/>
    <x v="2"/>
    <x v="2"/>
    <n v="838.52"/>
    <x v="3"/>
    <n v="1249.32"/>
    <x v="426"/>
    <n v="343.87"/>
    <x v="0"/>
  </r>
  <r>
    <s v="ORD0428"/>
    <x v="150"/>
    <x v="35"/>
    <x v="9"/>
    <x v="2"/>
    <x v="3"/>
    <x v="1"/>
    <n v="5899.04"/>
    <x v="4"/>
    <n v="16791.560000000001"/>
    <x v="427"/>
    <n v="3265.18"/>
    <x v="2"/>
  </r>
  <r>
    <s v="ORD0429"/>
    <x v="245"/>
    <x v="18"/>
    <x v="4"/>
    <x v="2"/>
    <x v="3"/>
    <x v="3"/>
    <n v="7657.01"/>
    <x v="3"/>
    <n v="23565.35"/>
    <x v="428"/>
    <n v="12805.45"/>
    <x v="1"/>
  </r>
  <r>
    <s v="ORD0430"/>
    <x v="9"/>
    <x v="36"/>
    <x v="6"/>
    <x v="0"/>
    <x v="3"/>
    <x v="0"/>
    <n v="2403.06"/>
    <x v="4"/>
    <n v="1689.59"/>
    <x v="429"/>
    <n v="353.01"/>
    <x v="1"/>
  </r>
  <r>
    <s v="ORD0431"/>
    <x v="72"/>
    <x v="21"/>
    <x v="7"/>
    <x v="4"/>
    <x v="3"/>
    <x v="3"/>
    <n v="1776.12"/>
    <x v="2"/>
    <n v="6129.25"/>
    <x v="430"/>
    <n v="975.23"/>
    <x v="0"/>
  </r>
  <r>
    <s v="ORD0432"/>
    <x v="160"/>
    <x v="48"/>
    <x v="4"/>
    <x v="2"/>
    <x v="1"/>
    <x v="2"/>
    <n v="9210.9500000000007"/>
    <x v="3"/>
    <n v="13379.36"/>
    <x v="431"/>
    <n v="4121.45"/>
    <x v="3"/>
  </r>
  <r>
    <s v="ORD0433"/>
    <x v="100"/>
    <x v="98"/>
    <x v="6"/>
    <x v="0"/>
    <x v="0"/>
    <x v="2"/>
    <n v="2334.4899999999998"/>
    <x v="1"/>
    <n v="3487.12"/>
    <x v="432"/>
    <n v="1181.8599999999999"/>
    <x v="0"/>
  </r>
  <r>
    <s v="ORD0434"/>
    <x v="246"/>
    <x v="28"/>
    <x v="3"/>
    <x v="1"/>
    <x v="0"/>
    <x v="3"/>
    <n v="989.04"/>
    <x v="2"/>
    <n v="2529.65"/>
    <x v="433"/>
    <n v="1426.51"/>
    <x v="2"/>
  </r>
  <r>
    <s v="ORD0435"/>
    <x v="111"/>
    <x v="2"/>
    <x v="0"/>
    <x v="0"/>
    <x v="1"/>
    <x v="1"/>
    <n v="22208.04"/>
    <x v="4"/>
    <n v="56765.599999999999"/>
    <x v="434"/>
    <n v="18741.740000000002"/>
    <x v="3"/>
  </r>
  <r>
    <s v="ORD0436"/>
    <x v="247"/>
    <x v="31"/>
    <x v="1"/>
    <x v="0"/>
    <x v="1"/>
    <x v="4"/>
    <n v="56787.31"/>
    <x v="4"/>
    <n v="118043.67"/>
    <x v="435"/>
    <n v="26763.97"/>
    <x v="0"/>
  </r>
  <r>
    <s v="ORD0437"/>
    <x v="248"/>
    <x v="11"/>
    <x v="0"/>
    <x v="0"/>
    <x v="1"/>
    <x v="3"/>
    <n v="20301.66"/>
    <x v="2"/>
    <n v="63737.7"/>
    <x v="436"/>
    <n v="17468.939999999999"/>
    <x v="3"/>
  </r>
  <r>
    <s v="ORD0438"/>
    <x v="15"/>
    <x v="36"/>
    <x v="3"/>
    <x v="1"/>
    <x v="2"/>
    <x v="3"/>
    <n v="883.76"/>
    <x v="3"/>
    <n v="2877.65"/>
    <x v="437"/>
    <n v="1320.21"/>
    <x v="3"/>
  </r>
  <r>
    <s v="ORD0439"/>
    <x v="224"/>
    <x v="65"/>
    <x v="7"/>
    <x v="4"/>
    <x v="2"/>
    <x v="4"/>
    <n v="1861.79"/>
    <x v="3"/>
    <n v="2973.69"/>
    <x v="438"/>
    <n v="2332.41"/>
    <x v="3"/>
  </r>
  <r>
    <s v="ORD0440"/>
    <x v="249"/>
    <x v="7"/>
    <x v="0"/>
    <x v="0"/>
    <x v="1"/>
    <x v="3"/>
    <n v="20245.68"/>
    <x v="1"/>
    <n v="80398"/>
    <x v="439"/>
    <n v="20830.400000000001"/>
    <x v="0"/>
  </r>
  <r>
    <s v="ORD0441"/>
    <x v="79"/>
    <x v="38"/>
    <x v="3"/>
    <x v="1"/>
    <x v="3"/>
    <x v="4"/>
    <n v="956.37"/>
    <x v="4"/>
    <n v="1518.81"/>
    <x v="440"/>
    <n v="919.93"/>
    <x v="1"/>
  </r>
  <r>
    <s v="ORD0442"/>
    <x v="250"/>
    <x v="21"/>
    <x v="9"/>
    <x v="2"/>
    <x v="1"/>
    <x v="0"/>
    <n v="7007.38"/>
    <x v="1"/>
    <n v="4958.2700000000004"/>
    <x v="441"/>
    <n v="2049.11"/>
    <x v="1"/>
  </r>
  <r>
    <s v="ORD0443"/>
    <x v="102"/>
    <x v="52"/>
    <x v="4"/>
    <x v="2"/>
    <x v="1"/>
    <x v="1"/>
    <n v="8896.2199999999993"/>
    <x v="2"/>
    <n v="20980.639999999999"/>
    <x v="442"/>
    <n v="7487.26"/>
    <x v="2"/>
  </r>
  <r>
    <s v="ORD0444"/>
    <x v="173"/>
    <x v="71"/>
    <x v="9"/>
    <x v="2"/>
    <x v="1"/>
    <x v="1"/>
    <n v="6351.43"/>
    <x v="4"/>
    <n v="16066.92"/>
    <x v="443"/>
    <n v="5527.94"/>
    <x v="2"/>
  </r>
  <r>
    <s v="ORD0445"/>
    <x v="64"/>
    <x v="25"/>
    <x v="6"/>
    <x v="0"/>
    <x v="2"/>
    <x v="0"/>
    <n v="2705.61"/>
    <x v="3"/>
    <n v="1439.82"/>
    <x v="444"/>
    <n v="1130.51"/>
    <x v="3"/>
  </r>
  <r>
    <s v="ORD0446"/>
    <x v="112"/>
    <x v="87"/>
    <x v="8"/>
    <x v="3"/>
    <x v="2"/>
    <x v="1"/>
    <n v="4826.32"/>
    <x v="0"/>
    <n v="12651.12"/>
    <x v="445"/>
    <n v="4723.63"/>
    <x v="2"/>
  </r>
  <r>
    <s v="ORD0447"/>
    <x v="234"/>
    <x v="5"/>
    <x v="9"/>
    <x v="2"/>
    <x v="1"/>
    <x v="1"/>
    <n v="6701.47"/>
    <x v="1"/>
    <n v="14711.68"/>
    <x v="446"/>
    <n v="12094.2"/>
    <x v="1"/>
  </r>
  <r>
    <s v="ORD0448"/>
    <x v="245"/>
    <x v="87"/>
    <x v="5"/>
    <x v="3"/>
    <x v="3"/>
    <x v="3"/>
    <n v="3303.5"/>
    <x v="2"/>
    <n v="9180.9500000000007"/>
    <x v="447"/>
    <n v="4033.05"/>
    <x v="0"/>
  </r>
  <r>
    <s v="ORD0449"/>
    <x v="29"/>
    <x v="14"/>
    <x v="6"/>
    <x v="0"/>
    <x v="2"/>
    <x v="3"/>
    <n v="2571.6999999999998"/>
    <x v="2"/>
    <n v="7045.5"/>
    <x v="448"/>
    <n v="3241.3"/>
    <x v="0"/>
  </r>
  <r>
    <s v="ORD0450"/>
    <x v="81"/>
    <x v="54"/>
    <x v="6"/>
    <x v="0"/>
    <x v="1"/>
    <x v="0"/>
    <n v="2415.4499999999998"/>
    <x v="4"/>
    <n v="1575.4"/>
    <x v="449"/>
    <n v="477.73"/>
    <x v="0"/>
  </r>
  <r>
    <s v="ORD0451"/>
    <x v="24"/>
    <x v="41"/>
    <x v="9"/>
    <x v="2"/>
    <x v="2"/>
    <x v="2"/>
    <n v="6891.64"/>
    <x v="1"/>
    <n v="8642.06"/>
    <x v="450"/>
    <n v="5141.22"/>
    <x v="0"/>
  </r>
  <r>
    <s v="ORD0452"/>
    <x v="160"/>
    <x v="32"/>
    <x v="4"/>
    <x v="2"/>
    <x v="0"/>
    <x v="0"/>
    <n v="7680.21"/>
    <x v="4"/>
    <n v="6258.63"/>
    <x v="451"/>
    <n v="269.55"/>
    <x v="2"/>
  </r>
  <r>
    <s v="ORD0453"/>
    <x v="10"/>
    <x v="94"/>
    <x v="0"/>
    <x v="0"/>
    <x v="2"/>
    <x v="3"/>
    <n v="23716.49"/>
    <x v="2"/>
    <n v="78032.3"/>
    <x v="452"/>
    <n v="16833.66"/>
    <x v="1"/>
  </r>
  <r>
    <s v="ORD0454"/>
    <x v="251"/>
    <x v="45"/>
    <x v="4"/>
    <x v="2"/>
    <x v="2"/>
    <x v="0"/>
    <n v="8214.35"/>
    <x v="3"/>
    <n v="6469.17"/>
    <x v="453"/>
    <n v="1334.46"/>
    <x v="1"/>
  </r>
  <r>
    <s v="ORD0455"/>
    <x v="252"/>
    <x v="92"/>
    <x v="7"/>
    <x v="4"/>
    <x v="3"/>
    <x v="0"/>
    <n v="1699.83"/>
    <x v="1"/>
    <n v="1331.69"/>
    <x v="454"/>
    <n v="368.14"/>
    <x v="1"/>
  </r>
  <r>
    <s v="ORD0456"/>
    <x v="253"/>
    <x v="28"/>
    <x v="0"/>
    <x v="0"/>
    <x v="3"/>
    <x v="0"/>
    <n v="23416.09"/>
    <x v="3"/>
    <n v="14808.32"/>
    <x v="455"/>
    <n v="7436.97"/>
    <x v="3"/>
  </r>
  <r>
    <s v="ORD0457"/>
    <x v="86"/>
    <x v="98"/>
    <x v="2"/>
    <x v="1"/>
    <x v="3"/>
    <x v="0"/>
    <n v="1916.84"/>
    <x v="4"/>
    <n v="1087.02"/>
    <x v="456"/>
    <n v="542.29"/>
    <x v="2"/>
  </r>
  <r>
    <s v="ORD0458"/>
    <x v="32"/>
    <x v="62"/>
    <x v="9"/>
    <x v="2"/>
    <x v="1"/>
    <x v="0"/>
    <n v="7009.28"/>
    <x v="2"/>
    <n v="3775.23"/>
    <x v="457"/>
    <n v="1832.19"/>
    <x v="0"/>
  </r>
  <r>
    <s v="ORD0459"/>
    <x v="218"/>
    <x v="87"/>
    <x v="1"/>
    <x v="0"/>
    <x v="1"/>
    <x v="3"/>
    <n v="54260.91"/>
    <x v="1"/>
    <n v="189284.3"/>
    <x v="458"/>
    <n v="82020.25"/>
    <x v="3"/>
  </r>
  <r>
    <s v="ORD0460"/>
    <x v="180"/>
    <x v="14"/>
    <x v="6"/>
    <x v="0"/>
    <x v="2"/>
    <x v="0"/>
    <n v="2553.08"/>
    <x v="4"/>
    <n v="1785.95"/>
    <x v="459"/>
    <n v="384.17"/>
    <x v="0"/>
  </r>
  <r>
    <s v="ORD0461"/>
    <x v="254"/>
    <x v="75"/>
    <x v="8"/>
    <x v="3"/>
    <x v="1"/>
    <x v="2"/>
    <n v="4358.57"/>
    <x v="0"/>
    <n v="5845.2"/>
    <x v="460"/>
    <n v="2000.23"/>
    <x v="3"/>
  </r>
  <r>
    <s v="ORD0462"/>
    <x v="120"/>
    <x v="98"/>
    <x v="9"/>
    <x v="2"/>
    <x v="1"/>
    <x v="3"/>
    <n v="6761.94"/>
    <x v="2"/>
    <n v="20303.650000000001"/>
    <x v="461"/>
    <n v="6744.11"/>
    <x v="3"/>
  </r>
  <r>
    <s v="ORD0463"/>
    <x v="99"/>
    <x v="5"/>
    <x v="2"/>
    <x v="1"/>
    <x v="1"/>
    <x v="3"/>
    <n v="1951.63"/>
    <x v="0"/>
    <n v="6494.9"/>
    <x v="462"/>
    <n v="2287.44"/>
    <x v="1"/>
  </r>
  <r>
    <s v="ORD0464"/>
    <x v="255"/>
    <x v="5"/>
    <x v="0"/>
    <x v="0"/>
    <x v="2"/>
    <x v="4"/>
    <n v="22310.81"/>
    <x v="2"/>
    <n v="44226.09"/>
    <x v="463"/>
    <n v="9319.85"/>
    <x v="1"/>
  </r>
  <r>
    <s v="ORD0465"/>
    <x v="23"/>
    <x v="79"/>
    <x v="9"/>
    <x v="2"/>
    <x v="0"/>
    <x v="0"/>
    <n v="6345.13"/>
    <x v="2"/>
    <n v="3748.01"/>
    <x v="464"/>
    <n v="1328.09"/>
    <x v="3"/>
  </r>
  <r>
    <s v="ORD0466"/>
    <x v="166"/>
    <x v="8"/>
    <x v="3"/>
    <x v="1"/>
    <x v="3"/>
    <x v="2"/>
    <n v="836.36"/>
    <x v="0"/>
    <n v="1297.52"/>
    <x v="465"/>
    <n v="207.93"/>
    <x v="3"/>
  </r>
  <r>
    <s v="ORD0467"/>
    <x v="256"/>
    <x v="91"/>
    <x v="5"/>
    <x v="3"/>
    <x v="1"/>
    <x v="0"/>
    <n v="2945.59"/>
    <x v="0"/>
    <n v="2411.2199999999998"/>
    <x v="466"/>
    <n v="239.81"/>
    <x v="0"/>
  </r>
  <r>
    <s v="ORD0468"/>
    <x v="257"/>
    <x v="12"/>
    <x v="2"/>
    <x v="1"/>
    <x v="2"/>
    <x v="3"/>
    <n v="1636.91"/>
    <x v="0"/>
    <n v="6509.1"/>
    <x v="467"/>
    <n v="857"/>
    <x v="1"/>
  </r>
  <r>
    <s v="ORD0469"/>
    <x v="47"/>
    <x v="18"/>
    <x v="5"/>
    <x v="3"/>
    <x v="3"/>
    <x v="0"/>
    <n v="3009.98"/>
    <x v="1"/>
    <n v="2354.94"/>
    <x v="468"/>
    <n v="655.04"/>
    <x v="3"/>
  </r>
  <r>
    <s v="ORD0470"/>
    <x v="138"/>
    <x v="80"/>
    <x v="2"/>
    <x v="1"/>
    <x v="0"/>
    <x v="4"/>
    <n v="1865.76"/>
    <x v="4"/>
    <n v="3209.52"/>
    <x v="469"/>
    <n v="1548.17"/>
    <x v="0"/>
  </r>
  <r>
    <s v="ORD0471"/>
    <x v="218"/>
    <x v="64"/>
    <x v="1"/>
    <x v="0"/>
    <x v="0"/>
    <x v="1"/>
    <n v="50930.73"/>
    <x v="0"/>
    <n v="151612.92000000001"/>
    <x v="470"/>
    <n v="31737.71"/>
    <x v="1"/>
  </r>
  <r>
    <s v="ORD0472"/>
    <x v="126"/>
    <x v="50"/>
    <x v="7"/>
    <x v="4"/>
    <x v="3"/>
    <x v="2"/>
    <n v="1736.15"/>
    <x v="1"/>
    <n v="2118.34"/>
    <x v="471"/>
    <n v="1353.96"/>
    <x v="0"/>
  </r>
  <r>
    <s v="ORD0473"/>
    <x v="187"/>
    <x v="18"/>
    <x v="8"/>
    <x v="3"/>
    <x v="1"/>
    <x v="3"/>
    <n v="4686.91"/>
    <x v="0"/>
    <n v="12784.95"/>
    <x v="472"/>
    <n v="8306.15"/>
    <x v="2"/>
  </r>
  <r>
    <s v="ORD0474"/>
    <x v="258"/>
    <x v="18"/>
    <x v="5"/>
    <x v="3"/>
    <x v="1"/>
    <x v="2"/>
    <n v="3138.19"/>
    <x v="4"/>
    <n v="4388.92"/>
    <x v="473"/>
    <n v="946"/>
    <x v="1"/>
  </r>
  <r>
    <s v="ORD0475"/>
    <x v="169"/>
    <x v="78"/>
    <x v="4"/>
    <x v="2"/>
    <x v="0"/>
    <x v="4"/>
    <n v="8929.51"/>
    <x v="0"/>
    <n v="15417.6"/>
    <x v="474"/>
    <n v="8692.08"/>
    <x v="2"/>
  </r>
  <r>
    <s v="ORD0476"/>
    <x v="259"/>
    <x v="43"/>
    <x v="4"/>
    <x v="2"/>
    <x v="0"/>
    <x v="1"/>
    <n v="8693.2900000000009"/>
    <x v="3"/>
    <n v="26388.2"/>
    <x v="475"/>
    <n v="6646.3"/>
    <x v="1"/>
  </r>
  <r>
    <s v="ORD0477"/>
    <x v="260"/>
    <x v="93"/>
    <x v="9"/>
    <x v="2"/>
    <x v="3"/>
    <x v="0"/>
    <n v="6791.17"/>
    <x v="4"/>
    <n v="3991.96"/>
    <x v="476"/>
    <n v="1780.53"/>
    <x v="0"/>
  </r>
  <r>
    <s v="ORD0478"/>
    <x v="158"/>
    <x v="47"/>
    <x v="7"/>
    <x v="4"/>
    <x v="0"/>
    <x v="0"/>
    <n v="1689.3"/>
    <x v="0"/>
    <n v="1394.23"/>
    <x v="477"/>
    <n v="126.14"/>
    <x v="3"/>
  </r>
  <r>
    <s v="ORD0479"/>
    <x v="261"/>
    <x v="50"/>
    <x v="5"/>
    <x v="3"/>
    <x v="1"/>
    <x v="3"/>
    <n v="3014.9"/>
    <x v="1"/>
    <n v="11307.75"/>
    <x v="478"/>
    <n v="3766.75"/>
    <x v="0"/>
  </r>
  <r>
    <s v="ORD0480"/>
    <x v="262"/>
    <x v="7"/>
    <x v="0"/>
    <x v="0"/>
    <x v="0"/>
    <x v="2"/>
    <n v="23666"/>
    <x v="2"/>
    <n v="33316.239999999998"/>
    <x v="479"/>
    <n v="4549.3599999999997"/>
    <x v="3"/>
  </r>
  <r>
    <s v="ORD0481"/>
    <x v="263"/>
    <x v="64"/>
    <x v="1"/>
    <x v="0"/>
    <x v="0"/>
    <x v="1"/>
    <n v="50305.73"/>
    <x v="0"/>
    <n v="123083.76"/>
    <x v="480"/>
    <n v="58016.87"/>
    <x v="3"/>
  </r>
  <r>
    <s v="ORD0482"/>
    <x v="31"/>
    <x v="48"/>
    <x v="3"/>
    <x v="1"/>
    <x v="2"/>
    <x v="1"/>
    <n v="882.8"/>
    <x v="4"/>
    <n v="2386"/>
    <x v="481"/>
    <n v="615.52"/>
    <x v="2"/>
  </r>
  <r>
    <s v="ORD0483"/>
    <x v="213"/>
    <x v="2"/>
    <x v="5"/>
    <x v="3"/>
    <x v="0"/>
    <x v="0"/>
    <n v="3357.41"/>
    <x v="2"/>
    <n v="1810.59"/>
    <x v="482"/>
    <n v="875.34"/>
    <x v="1"/>
  </r>
  <r>
    <s v="ORD0484"/>
    <x v="206"/>
    <x v="63"/>
    <x v="5"/>
    <x v="3"/>
    <x v="2"/>
    <x v="0"/>
    <n v="3072.86"/>
    <x v="0"/>
    <n v="2389.5100000000002"/>
    <x v="483"/>
    <n v="376.06"/>
    <x v="0"/>
  </r>
  <r>
    <s v="ORD0485"/>
    <x v="264"/>
    <x v="15"/>
    <x v="9"/>
    <x v="2"/>
    <x v="3"/>
    <x v="0"/>
    <n v="6135.83"/>
    <x v="4"/>
    <n v="3829.03"/>
    <x v="484"/>
    <n v="1386.43"/>
    <x v="3"/>
  </r>
  <r>
    <s v="ORD0486"/>
    <x v="265"/>
    <x v="36"/>
    <x v="3"/>
    <x v="1"/>
    <x v="0"/>
    <x v="4"/>
    <n v="909.91"/>
    <x v="1"/>
    <n v="1858.62"/>
    <x v="485"/>
    <n v="871.11"/>
    <x v="0"/>
  </r>
  <r>
    <s v="ORD0487"/>
    <x v="42"/>
    <x v="9"/>
    <x v="5"/>
    <x v="3"/>
    <x v="2"/>
    <x v="3"/>
    <n v="3358.91"/>
    <x v="1"/>
    <n v="10018.75"/>
    <x v="486"/>
    <n v="6775.8"/>
    <x v="3"/>
  </r>
  <r>
    <s v="ORD0488"/>
    <x v="13"/>
    <x v="60"/>
    <x v="6"/>
    <x v="0"/>
    <x v="0"/>
    <x v="2"/>
    <n v="2376.37"/>
    <x v="3"/>
    <n v="3521.1"/>
    <x v="487"/>
    <n v="994"/>
    <x v="0"/>
  </r>
  <r>
    <s v="ORD0489"/>
    <x v="266"/>
    <x v="72"/>
    <x v="5"/>
    <x v="3"/>
    <x v="2"/>
    <x v="0"/>
    <n v="3040.44"/>
    <x v="0"/>
    <n v="2297.35"/>
    <x v="488"/>
    <n v="439.05"/>
    <x v="1"/>
  </r>
  <r>
    <s v="ORD0490"/>
    <x v="198"/>
    <x v="27"/>
    <x v="4"/>
    <x v="2"/>
    <x v="2"/>
    <x v="2"/>
    <n v="8703.18"/>
    <x v="3"/>
    <n v="9775.2000000000007"/>
    <x v="489"/>
    <n v="6760.84"/>
    <x v="0"/>
  </r>
  <r>
    <s v="ORD0491"/>
    <x v="223"/>
    <x v="30"/>
    <x v="4"/>
    <x v="2"/>
    <x v="3"/>
    <x v="3"/>
    <n v="7909.07"/>
    <x v="0"/>
    <n v="30743"/>
    <x v="490"/>
    <n v="4847.82"/>
    <x v="0"/>
  </r>
  <r>
    <s v="ORD0492"/>
    <x v="230"/>
    <x v="59"/>
    <x v="6"/>
    <x v="0"/>
    <x v="3"/>
    <x v="0"/>
    <n v="2360.7600000000002"/>
    <x v="0"/>
    <n v="1528.86"/>
    <x v="491"/>
    <n v="595.82000000000005"/>
    <x v="1"/>
  </r>
  <r>
    <s v="ORD0493"/>
    <x v="74"/>
    <x v="19"/>
    <x v="6"/>
    <x v="0"/>
    <x v="0"/>
    <x v="4"/>
    <n v="2429.37"/>
    <x v="4"/>
    <n v="4992.84"/>
    <x v="492"/>
    <n v="1202.05"/>
    <x v="3"/>
  </r>
  <r>
    <s v="ORD0494"/>
    <x v="267"/>
    <x v="33"/>
    <x v="8"/>
    <x v="3"/>
    <x v="3"/>
    <x v="0"/>
    <n v="4176"/>
    <x v="0"/>
    <n v="3441.05"/>
    <x v="493"/>
    <n v="317.35000000000002"/>
    <x v="2"/>
  </r>
  <r>
    <s v="ORD0495"/>
    <x v="164"/>
    <x v="88"/>
    <x v="0"/>
    <x v="0"/>
    <x v="1"/>
    <x v="0"/>
    <n v="23375.63"/>
    <x v="2"/>
    <n v="15573.95"/>
    <x v="494"/>
    <n v="3126.55"/>
    <x v="2"/>
  </r>
  <r>
    <s v="ORD0496"/>
    <x v="268"/>
    <x v="50"/>
    <x v="5"/>
    <x v="3"/>
    <x v="1"/>
    <x v="4"/>
    <n v="3225.39"/>
    <x v="2"/>
    <n v="7425.57"/>
    <x v="495"/>
    <n v="315.37"/>
    <x v="1"/>
  </r>
  <r>
    <s v="ORD0497"/>
    <x v="65"/>
    <x v="14"/>
    <x v="9"/>
    <x v="2"/>
    <x v="0"/>
    <x v="2"/>
    <n v="6228.3"/>
    <x v="2"/>
    <n v="9532.98"/>
    <x v="496"/>
    <n v="432.3"/>
    <x v="0"/>
  </r>
  <r>
    <s v="ORD0498"/>
    <x v="178"/>
    <x v="13"/>
    <x v="4"/>
    <x v="2"/>
    <x v="1"/>
    <x v="3"/>
    <n v="9091.57"/>
    <x v="1"/>
    <n v="30415.95"/>
    <x v="497"/>
    <n v="15041.9"/>
    <x v="3"/>
  </r>
  <r>
    <s v="ORD0499"/>
    <x v="269"/>
    <x v="91"/>
    <x v="7"/>
    <x v="4"/>
    <x v="2"/>
    <x v="2"/>
    <n v="1823.69"/>
    <x v="3"/>
    <n v="2489.7199999999998"/>
    <x v="498"/>
    <n v="975.29"/>
    <x v="1"/>
  </r>
  <r>
    <s v="ORD0500"/>
    <x v="270"/>
    <x v="36"/>
    <x v="1"/>
    <x v="0"/>
    <x v="1"/>
    <x v="2"/>
    <n v="52407.93"/>
    <x v="4"/>
    <n v="66873.119999999995"/>
    <x v="499"/>
    <n v="22220.3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7CF6E-F5BF-4512-A35A-AADD25D33BB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23:M36" firstHeaderRow="1" firstDataRow="1" firstDataCol="1"/>
  <pivotFields count="15">
    <pivotField showAll="0"/>
    <pivotField axis="axisRow"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>
      <items count="11">
        <item x="7"/>
        <item x="9"/>
        <item x="6"/>
        <item x="2"/>
        <item x="1"/>
        <item x="3"/>
        <item x="4"/>
        <item x="5"/>
        <item x="0"/>
        <item x="8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6E059-BBF8-4155-A2A9-1B79D5026E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11:M17" firstHeaderRow="1" firstDataRow="1" firstDataCol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>
      <items count="11">
        <item x="7"/>
        <item x="9"/>
        <item x="6"/>
        <item x="2"/>
        <item x="1"/>
        <item x="3"/>
        <item x="4"/>
        <item x="5"/>
        <item x="0"/>
        <item x="8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59302-DC55-4801-B76B-02353EEDF2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H15:I26" firstHeaderRow="1" firstDataRow="1" firstDataCol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axis="axisRow" showAll="0">
      <items count="11">
        <item x="7"/>
        <item x="9"/>
        <item x="6"/>
        <item x="2"/>
        <item x="1"/>
        <item x="3"/>
        <item x="4"/>
        <item x="5"/>
        <item x="0"/>
        <item x="8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1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3E5B0-F8E0-4DEB-99A2-6A10FD94DF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I4:J9" firstHeaderRow="1" firstDataRow="1" firstDataCol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>
      <items count="11">
        <item x="7"/>
        <item x="9"/>
        <item x="6"/>
        <item x="2"/>
        <item x="1"/>
        <item x="3"/>
        <item x="4"/>
        <item x="5"/>
        <item x="0"/>
        <item x="8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D91EC-52C6-433E-B280-D466BEA62E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5">
    <pivotField showAll="0"/>
    <pivotField axis="axisRow"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>
      <items count="11">
        <item x="7"/>
        <item x="9"/>
        <item x="6"/>
        <item x="2"/>
        <item x="1"/>
        <item x="3"/>
        <item x="4"/>
        <item x="5"/>
        <item x="0"/>
        <item x="8"/>
        <item t="default"/>
      </items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EB62D-A3E4-4F86-A62F-DF0F9D60E4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S3:T9" firstHeaderRow="1" firstDataRow="1" firstDataCol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3"/>
        <item x="1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9ED6D-9E83-426B-81D9-C124E19E4E5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2:C38" firstHeaderRow="0" firstDataRow="1" firstDataCol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C4FDE-3DC5-4D58-AA3A-0447F5E80BF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4:G25" firstHeaderRow="1" firstDataRow="1" firstDataCol="1" rowPageCount="1" colPageCount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axis="axisRow" showAll="0" measureFilter="1">
      <items count="100">
        <item x="39"/>
        <item x="95"/>
        <item x="48"/>
        <item x="34"/>
        <item x="68"/>
        <item x="36"/>
        <item x="54"/>
        <item x="23"/>
        <item x="67"/>
        <item x="29"/>
        <item x="47"/>
        <item x="41"/>
        <item x="22"/>
        <item x="28"/>
        <item x="49"/>
        <item x="4"/>
        <item x="77"/>
        <item x="21"/>
        <item x="70"/>
        <item x="89"/>
        <item x="61"/>
        <item x="83"/>
        <item x="80"/>
        <item x="60"/>
        <item x="20"/>
        <item x="33"/>
        <item x="94"/>
        <item x="9"/>
        <item x="18"/>
        <item x="57"/>
        <item x="16"/>
        <item x="43"/>
        <item x="64"/>
        <item x="26"/>
        <item x="6"/>
        <item x="63"/>
        <item x="38"/>
        <item x="86"/>
        <item x="81"/>
        <item x="27"/>
        <item x="74"/>
        <item x="37"/>
        <item x="52"/>
        <item x="73"/>
        <item x="92"/>
        <item x="30"/>
        <item x="69"/>
        <item x="3"/>
        <item x="12"/>
        <item x="51"/>
        <item x="88"/>
        <item x="32"/>
        <item x="71"/>
        <item x="24"/>
        <item x="59"/>
        <item x="40"/>
        <item x="75"/>
        <item x="85"/>
        <item x="44"/>
        <item x="78"/>
        <item x="87"/>
        <item x="19"/>
        <item x="11"/>
        <item x="14"/>
        <item x="96"/>
        <item x="93"/>
        <item x="66"/>
        <item x="10"/>
        <item x="15"/>
        <item x="56"/>
        <item x="1"/>
        <item x="25"/>
        <item x="65"/>
        <item x="84"/>
        <item x="58"/>
        <item x="45"/>
        <item x="55"/>
        <item x="42"/>
        <item x="31"/>
        <item x="76"/>
        <item x="82"/>
        <item x="7"/>
        <item x="97"/>
        <item x="62"/>
        <item x="79"/>
        <item x="0"/>
        <item x="13"/>
        <item x="8"/>
        <item x="2"/>
        <item x="5"/>
        <item x="98"/>
        <item x="72"/>
        <item x="35"/>
        <item x="91"/>
        <item x="46"/>
        <item x="53"/>
        <item x="90"/>
        <item x="17"/>
        <item x="50"/>
        <item t="default"/>
      </items>
    </pivotField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axis="axisPage" dataField="1" showAll="0">
      <items count="501">
        <item x="356"/>
        <item x="107"/>
        <item x="67"/>
        <item x="228"/>
        <item x="221"/>
        <item x="465"/>
        <item x="303"/>
        <item x="477"/>
        <item x="178"/>
        <item x="409"/>
        <item x="364"/>
        <item x="72"/>
        <item x="426"/>
        <item x="43"/>
        <item x="185"/>
        <item x="57"/>
        <item x="456"/>
        <item x="3"/>
        <item x="135"/>
        <item x="384"/>
        <item x="454"/>
        <item x="175"/>
        <item x="387"/>
        <item x="254"/>
        <item x="101"/>
        <item x="213"/>
        <item x="89"/>
        <item x="392"/>
        <item x="253"/>
        <item x="291"/>
        <item x="134"/>
        <item x="363"/>
        <item x="16"/>
        <item x="281"/>
        <item x="429"/>
        <item x="333"/>
        <item x="112"/>
        <item x="449"/>
        <item x="491"/>
        <item x="459"/>
        <item x="326"/>
        <item x="42"/>
        <item x="238"/>
        <item x="111"/>
        <item x="381"/>
        <item x="51"/>
        <item x="76"/>
        <item x="242"/>
        <item x="405"/>
        <item x="286"/>
        <item x="352"/>
        <item x="131"/>
        <item x="440"/>
        <item x="79"/>
        <item x="295"/>
        <item x="444"/>
        <item x="344"/>
        <item x="158"/>
        <item x="66"/>
        <item x="466"/>
        <item x="482"/>
        <item x="485"/>
        <item x="488"/>
        <item x="270"/>
        <item x="483"/>
        <item x="208"/>
        <item x="68"/>
        <item x="318"/>
        <item x="361"/>
        <item x="481"/>
        <item x="468"/>
        <item x="87"/>
        <item x="369"/>
        <item x="351"/>
        <item x="105"/>
        <item x="63"/>
        <item x="25"/>
        <item x="120"/>
        <item x="283"/>
        <item x="162"/>
        <item x="201"/>
        <item x="103"/>
        <item x="52"/>
        <item x="412"/>
        <item x="197"/>
        <item x="230"/>
        <item x="92"/>
        <item x="296"/>
        <item x="498"/>
        <item x="471"/>
        <item x="15"/>
        <item x="328"/>
        <item x="267"/>
        <item x="91"/>
        <item x="193"/>
        <item x="249"/>
        <item x="398"/>
        <item x="227"/>
        <item x="40"/>
        <item x="167"/>
        <item x="144"/>
        <item x="146"/>
        <item x="148"/>
        <item x="205"/>
        <item x="493"/>
        <item x="366"/>
        <item x="31"/>
        <item x="48"/>
        <item x="211"/>
        <item x="433"/>
        <item x="188"/>
        <item x="36"/>
        <item x="313"/>
        <item x="224"/>
        <item x="113"/>
        <item x="165"/>
        <item x="437"/>
        <item x="99"/>
        <item x="133"/>
        <item x="349"/>
        <item x="316"/>
        <item x="358"/>
        <item x="263"/>
        <item x="94"/>
        <item x="186"/>
        <item x="41"/>
        <item x="62"/>
        <item x="289"/>
        <item x="271"/>
        <item x="487"/>
        <item x="171"/>
        <item x="424"/>
        <item x="204"/>
        <item x="96"/>
        <item x="432"/>
        <item x="395"/>
        <item x="261"/>
        <item x="114"/>
        <item x="32"/>
        <item x="469"/>
        <item x="108"/>
        <item x="17"/>
        <item x="359"/>
        <item x="292"/>
        <item x="81"/>
        <item x="257"/>
        <item x="464"/>
        <item x="28"/>
        <item x="484"/>
        <item x="130"/>
        <item x="180"/>
        <item x="438"/>
        <item x="420"/>
        <item x="473"/>
        <item x="149"/>
        <item x="184"/>
        <item x="50"/>
        <item x="124"/>
        <item x="457"/>
        <item x="314"/>
        <item x="125"/>
        <item x="10"/>
        <item x="476"/>
        <item x="397"/>
        <item x="210"/>
        <item x="6"/>
        <item x="317"/>
        <item x="8"/>
        <item x="275"/>
        <item x="173"/>
        <item x="115"/>
        <item x="151"/>
        <item x="126"/>
        <item x="121"/>
        <item x="2"/>
        <item x="492"/>
        <item x="59"/>
        <item x="338"/>
        <item x="127"/>
        <item x="332"/>
        <item x="209"/>
        <item x="102"/>
        <item x="7"/>
        <item x="163"/>
        <item x="403"/>
        <item x="451"/>
        <item x="218"/>
        <item x="233"/>
        <item x="33"/>
        <item x="269"/>
        <item x="250"/>
        <item x="168"/>
        <item x="110"/>
        <item x="199"/>
        <item x="77"/>
        <item x="368"/>
        <item x="150"/>
        <item x="13"/>
        <item x="207"/>
        <item x="194"/>
        <item x="324"/>
        <item x="441"/>
        <item x="396"/>
        <item x="80"/>
        <item x="430"/>
        <item x="86"/>
        <item x="174"/>
        <item x="411"/>
        <item x="376"/>
        <item x="336"/>
        <item x="467"/>
        <item x="365"/>
        <item x="322"/>
        <item x="132"/>
        <item x="5"/>
        <item x="34"/>
        <item x="117"/>
        <item x="345"/>
        <item x="97"/>
        <item x="234"/>
        <item x="100"/>
        <item x="104"/>
        <item x="495"/>
        <item x="371"/>
        <item x="453"/>
        <item x="460"/>
        <item x="360"/>
        <item x="226"/>
        <item x="265"/>
        <item x="78"/>
        <item x="339"/>
        <item x="38"/>
        <item x="195"/>
        <item x="264"/>
        <item x="252"/>
        <item x="383"/>
        <item x="278"/>
        <item x="189"/>
        <item x="293"/>
        <item x="353"/>
        <item x="402"/>
        <item x="279"/>
        <item x="109"/>
        <item x="312"/>
        <item x="334"/>
        <item x="70"/>
        <item x="347"/>
        <item x="462"/>
        <item x="423"/>
        <item x="373"/>
        <item x="239"/>
        <item x="35"/>
        <item x="196"/>
        <item x="156"/>
        <item x="407"/>
        <item x="166"/>
        <item x="170"/>
        <item x="18"/>
        <item x="400"/>
        <item x="244"/>
        <item x="190"/>
        <item x="389"/>
        <item x="496"/>
        <item x="157"/>
        <item x="448"/>
        <item x="64"/>
        <item x="237"/>
        <item x="321"/>
        <item x="260"/>
        <item x="251"/>
        <item x="256"/>
        <item x="247"/>
        <item x="422"/>
        <item x="370"/>
        <item x="45"/>
        <item x="399"/>
        <item x="284"/>
        <item x="141"/>
        <item x="73"/>
        <item x="219"/>
        <item x="259"/>
        <item x="382"/>
        <item x="119"/>
        <item x="85"/>
        <item x="337"/>
        <item x="401"/>
        <item x="417"/>
        <item x="319"/>
        <item x="280"/>
        <item x="413"/>
        <item x="183"/>
        <item x="300"/>
        <item x="377"/>
        <item x="160"/>
        <item x="447"/>
        <item x="419"/>
        <item x="386"/>
        <item x="450"/>
        <item x="311"/>
        <item x="47"/>
        <item x="266"/>
        <item x="350"/>
        <item x="258"/>
        <item x="309"/>
        <item x="154"/>
        <item x="388"/>
        <item x="143"/>
        <item x="343"/>
        <item x="225"/>
        <item x="297"/>
        <item x="380"/>
        <item x="478"/>
        <item x="298"/>
        <item x="155"/>
        <item x="198"/>
        <item x="335"/>
        <item x="200"/>
        <item x="299"/>
        <item x="147"/>
        <item x="290"/>
        <item x="346"/>
        <item x="138"/>
        <item x="19"/>
        <item x="414"/>
        <item x="274"/>
        <item x="489"/>
        <item x="486"/>
        <item x="74"/>
        <item x="241"/>
        <item x="192"/>
        <item x="222"/>
        <item x="408"/>
        <item x="272"/>
        <item x="445"/>
        <item x="431"/>
        <item x="229"/>
        <item x="23"/>
        <item x="374"/>
        <item x="11"/>
        <item x="223"/>
        <item x="159"/>
        <item x="24"/>
        <item x="0"/>
        <item x="177"/>
        <item x="404"/>
        <item x="362"/>
        <item x="391"/>
        <item x="494"/>
        <item x="21"/>
        <item x="84"/>
        <item x="22"/>
        <item x="56"/>
        <item x="301"/>
        <item x="406"/>
        <item x="427"/>
        <item x="330"/>
        <item x="128"/>
        <item x="206"/>
        <item x="136"/>
        <item x="217"/>
        <item x="122"/>
        <item x="393"/>
        <item x="472"/>
        <item x="152"/>
        <item x="355"/>
        <item x="276"/>
        <item x="145"/>
        <item x="443"/>
        <item x="310"/>
        <item x="236"/>
        <item x="455"/>
        <item x="320"/>
        <item x="106"/>
        <item x="46"/>
        <item x="245"/>
        <item x="308"/>
        <item x="49"/>
        <item x="474"/>
        <item x="390"/>
        <item x="379"/>
        <item x="341"/>
        <item x="288"/>
        <item x="137"/>
        <item x="446"/>
        <item x="461"/>
        <item x="285"/>
        <item x="394"/>
        <item x="323"/>
        <item x="306"/>
        <item x="442"/>
        <item x="220"/>
        <item x="243"/>
        <item x="294"/>
        <item x="53"/>
        <item x="187"/>
        <item x="39"/>
        <item x="268"/>
        <item x="203"/>
        <item x="65"/>
        <item x="71"/>
        <item x="475"/>
        <item x="282"/>
        <item x="305"/>
        <item x="490"/>
        <item x="212"/>
        <item x="428"/>
        <item x="479"/>
        <item x="44"/>
        <item x="302"/>
        <item x="4"/>
        <item x="12"/>
        <item x="375"/>
        <item x="26"/>
        <item x="37"/>
        <item x="421"/>
        <item x="497"/>
        <item x="82"/>
        <item x="191"/>
        <item x="14"/>
        <item x="463"/>
        <item x="287"/>
        <item x="1"/>
        <item x="142"/>
        <item x="93"/>
        <item x="378"/>
        <item x="58"/>
        <item x="416"/>
        <item x="329"/>
        <item x="179"/>
        <item x="277"/>
        <item x="202"/>
        <item x="232"/>
        <item x="425"/>
        <item x="434"/>
        <item x="95"/>
        <item x="231"/>
        <item x="436"/>
        <item x="139"/>
        <item x="140"/>
        <item x="55"/>
        <item x="215"/>
        <item x="499"/>
        <item x="153"/>
        <item x="54"/>
        <item x="367"/>
        <item x="325"/>
        <item x="98"/>
        <item x="246"/>
        <item x="161"/>
        <item x="327"/>
        <item x="452"/>
        <item x="181"/>
        <item x="342"/>
        <item x="410"/>
        <item x="60"/>
        <item x="164"/>
        <item x="439"/>
        <item x="30"/>
        <item x="9"/>
        <item x="307"/>
        <item x="348"/>
        <item x="69"/>
        <item x="357"/>
        <item x="90"/>
        <item x="176"/>
        <item x="118"/>
        <item x="372"/>
        <item x="262"/>
        <item x="435"/>
        <item x="315"/>
        <item x="240"/>
        <item x="214"/>
        <item x="304"/>
        <item x="61"/>
        <item x="331"/>
        <item x="129"/>
        <item x="255"/>
        <item x="182"/>
        <item x="480"/>
        <item x="172"/>
        <item x="470"/>
        <item x="88"/>
        <item x="75"/>
        <item x="169"/>
        <item x="418"/>
        <item x="235"/>
        <item x="248"/>
        <item x="385"/>
        <item x="20"/>
        <item x="27"/>
        <item x="116"/>
        <item x="354"/>
        <item x="216"/>
        <item x="123"/>
        <item x="273"/>
        <item x="83"/>
        <item x="29"/>
        <item x="415"/>
        <item x="340"/>
        <item x="458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1">
    <i>
      <x v="7"/>
    </i>
    <i>
      <x v="8"/>
    </i>
    <i>
      <x v="32"/>
    </i>
    <i>
      <x v="37"/>
    </i>
    <i>
      <x v="42"/>
    </i>
    <i>
      <x v="49"/>
    </i>
    <i>
      <x v="60"/>
    </i>
    <i>
      <x v="62"/>
    </i>
    <i>
      <x v="71"/>
    </i>
    <i>
      <x v="88"/>
    </i>
    <i t="grand">
      <x/>
    </i>
  </rowItems>
  <colItems count="1">
    <i/>
  </colItems>
  <pageFields count="1">
    <pageField fld="10" hier="-1"/>
  </pageFields>
  <dataFields count="1">
    <dataField name="Sum of Sales" fld="10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11C69-F285-4031-9209-E90D10F25C9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5">
    <pivotField showAll="0"/>
    <pivotField numFmtId="14" showAll="0">
      <items count="272">
        <item x="84"/>
        <item x="87"/>
        <item x="250"/>
        <item x="193"/>
        <item x="234"/>
        <item x="101"/>
        <item x="260"/>
        <item x="1"/>
        <item x="92"/>
        <item x="199"/>
        <item x="76"/>
        <item x="233"/>
        <item x="142"/>
        <item x="163"/>
        <item x="79"/>
        <item x="124"/>
        <item x="211"/>
        <item x="213"/>
        <item x="97"/>
        <item x="126"/>
        <item x="23"/>
        <item x="179"/>
        <item x="156"/>
        <item x="166"/>
        <item x="12"/>
        <item x="9"/>
        <item x="140"/>
        <item x="20"/>
        <item x="161"/>
        <item x="221"/>
        <item x="212"/>
        <item x="168"/>
        <item x="91"/>
        <item x="206"/>
        <item x="244"/>
        <item x="3"/>
        <item x="189"/>
        <item x="231"/>
        <item x="110"/>
        <item x="129"/>
        <item x="0"/>
        <item x="82"/>
        <item x="248"/>
        <item x="224"/>
        <item x="38"/>
        <item x="13"/>
        <item x="35"/>
        <item x="208"/>
        <item x="30"/>
        <item x="265"/>
        <item x="109"/>
        <item x="112"/>
        <item x="99"/>
        <item x="225"/>
        <item x="170"/>
        <item x="172"/>
        <item x="77"/>
        <item x="90"/>
        <item x="269"/>
        <item x="165"/>
        <item x="185"/>
        <item x="113"/>
        <item x="29"/>
        <item x="2"/>
        <item x="15"/>
        <item x="171"/>
        <item x="205"/>
        <item x="210"/>
        <item x="121"/>
        <item x="75"/>
        <item x="263"/>
        <item x="71"/>
        <item x="138"/>
        <item x="86"/>
        <item x="5"/>
        <item x="198"/>
        <item x="214"/>
        <item x="266"/>
        <item x="150"/>
        <item x="105"/>
        <item x="200"/>
        <item x="33"/>
        <item x="174"/>
        <item x="117"/>
        <item x="39"/>
        <item x="177"/>
        <item x="236"/>
        <item x="119"/>
        <item x="270"/>
        <item x="134"/>
        <item x="107"/>
        <item x="197"/>
        <item x="93"/>
        <item x="188"/>
        <item x="19"/>
        <item x="245"/>
        <item x="98"/>
        <item x="58"/>
        <item x="43"/>
        <item x="249"/>
        <item x="66"/>
        <item x="239"/>
        <item x="14"/>
        <item x="222"/>
        <item x="247"/>
        <item x="122"/>
        <item x="106"/>
        <item x="81"/>
        <item x="104"/>
        <item x="238"/>
        <item x="27"/>
        <item x="118"/>
        <item x="192"/>
        <item x="254"/>
        <item x="145"/>
        <item x="243"/>
        <item x="204"/>
        <item x="154"/>
        <item x="74"/>
        <item x="16"/>
        <item x="115"/>
        <item x="237"/>
        <item x="120"/>
        <item x="31"/>
        <item x="151"/>
        <item x="180"/>
        <item x="116"/>
        <item x="57"/>
        <item x="40"/>
        <item x="41"/>
        <item x="37"/>
        <item x="48"/>
        <item x="252"/>
        <item x="42"/>
        <item x="258"/>
        <item x="228"/>
        <item x="146"/>
        <item x="226"/>
        <item x="96"/>
        <item x="100"/>
        <item x="123"/>
        <item x="149"/>
        <item x="102"/>
        <item x="162"/>
        <item x="60"/>
        <item x="6"/>
        <item x="257"/>
        <item x="143"/>
        <item x="241"/>
        <item x="264"/>
        <item x="217"/>
        <item x="219"/>
        <item x="50"/>
        <item x="26"/>
        <item x="160"/>
        <item x="195"/>
        <item x="22"/>
        <item x="253"/>
        <item x="88"/>
        <item x="229"/>
        <item x="73"/>
        <item x="55"/>
        <item x="242"/>
        <item x="18"/>
        <item x="144"/>
        <item x="108"/>
        <item x="262"/>
        <item x="133"/>
        <item x="202"/>
        <item x="47"/>
        <item x="130"/>
        <item x="194"/>
        <item x="24"/>
        <item x="183"/>
        <item x="83"/>
        <item x="32"/>
        <item x="63"/>
        <item x="65"/>
        <item x="94"/>
        <item x="78"/>
        <item x="131"/>
        <item x="111"/>
        <item x="49"/>
        <item x="173"/>
        <item x="64"/>
        <item x="201"/>
        <item x="196"/>
        <item x="103"/>
        <item x="184"/>
        <item x="89"/>
        <item x="186"/>
        <item x="11"/>
        <item x="176"/>
        <item x="158"/>
        <item x="132"/>
        <item x="51"/>
        <item x="216"/>
        <item x="232"/>
        <item x="68"/>
        <item x="187"/>
        <item x="207"/>
        <item x="169"/>
        <item x="17"/>
        <item x="4"/>
        <item x="267"/>
        <item x="54"/>
        <item x="28"/>
        <item x="34"/>
        <item x="46"/>
        <item x="25"/>
        <item x="153"/>
        <item x="139"/>
        <item x="220"/>
        <item x="167"/>
        <item x="52"/>
        <item x="10"/>
        <item x="175"/>
        <item x="223"/>
        <item x="235"/>
        <item x="114"/>
        <item x="80"/>
        <item x="209"/>
        <item x="164"/>
        <item x="218"/>
        <item x="181"/>
        <item x="56"/>
        <item x="191"/>
        <item x="240"/>
        <item x="137"/>
        <item x="125"/>
        <item x="178"/>
        <item x="157"/>
        <item x="251"/>
        <item x="259"/>
        <item x="53"/>
        <item x="155"/>
        <item x="261"/>
        <item x="36"/>
        <item x="70"/>
        <item x="8"/>
        <item x="230"/>
        <item x="141"/>
        <item x="148"/>
        <item x="62"/>
        <item x="135"/>
        <item x="59"/>
        <item x="268"/>
        <item x="128"/>
        <item x="127"/>
        <item x="246"/>
        <item x="44"/>
        <item x="255"/>
        <item x="21"/>
        <item x="182"/>
        <item x="159"/>
        <item x="256"/>
        <item x="190"/>
        <item x="147"/>
        <item x="7"/>
        <item x="61"/>
        <item x="72"/>
        <item x="95"/>
        <item x="67"/>
        <item x="215"/>
        <item x="45"/>
        <item x="85"/>
        <item x="203"/>
        <item x="227"/>
        <item x="136"/>
        <item x="69"/>
        <item x="152"/>
        <item t="default"/>
      </items>
    </pivotField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E21DF-0616-4308-95B1-1034A6B59125}" name="Table1" displayName="Table1" ref="A1:M501" totalsRowShown="0">
  <autoFilter ref="A1:M501" xr:uid="{8CFE21DF-0616-4308-95B1-1034A6B59125}"/>
  <sortState xmlns:xlrd2="http://schemas.microsoft.com/office/spreadsheetml/2017/richdata2" ref="A2:M501">
    <sortCondition ref="A1:A501"/>
  </sortState>
  <tableColumns count="13">
    <tableColumn id="1" xr3:uid="{D41B29A7-CB7E-4031-9176-48FAC831B696}" name="Order_ID"/>
    <tableColumn id="2" xr3:uid="{257DC47A-42B9-4634-BE3B-50883EAB4691}" name="Order_Date" dataDxfId="6"/>
    <tableColumn id="3" xr3:uid="{50CF44DB-F56E-4C18-8648-E0AF58EFBEDF}" name="Customer_ID"/>
    <tableColumn id="4" xr3:uid="{1BFFAAFC-A191-4E93-92A3-860FDCFF7F70}" name="Product"/>
    <tableColumn id="5" xr3:uid="{EB06CAC1-78AC-4023-858D-5A41C14AB21E}" name="Category"/>
    <tableColumn id="6" xr3:uid="{28A5B777-CBEF-498D-A6EB-005ADC888883}" name="Region"/>
    <tableColumn id="7" xr3:uid="{BF85429E-A1EF-4C77-B224-B3C3581985CF}" name="Quantity"/>
    <tableColumn id="8" xr3:uid="{880EFAAE-ADEE-47CD-8DF5-39F49E68F84C}" name="Unit_Price"/>
    <tableColumn id="9" xr3:uid="{B4A7CEEF-2958-4309-A0D1-1A491D27714B}" name="Discount"/>
    <tableColumn id="10" xr3:uid="{AA073DBA-72CE-474C-8535-BAE979F9DBD2}" name="Cost"/>
    <tableColumn id="11" xr3:uid="{F84662E8-D3C9-4573-9ABD-30FA83841421}" name="Sales"/>
    <tableColumn id="12" xr3:uid="{7D65F9E3-1B9B-4B44-B755-043ED6A0159D}" name="Profit"/>
    <tableColumn id="13" xr3:uid="{860B2957-CD58-45EC-ADD4-FE4D13102315}" name="Payment_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18C06B-5B0E-4A2B-85CD-620AB950FE96}" name="Table2" displayName="Table2" ref="O15:S16" totalsRowShown="0">
  <autoFilter ref="O15:S16" xr:uid="{C918C06B-5B0E-4A2B-85CD-620AB950FE96}"/>
  <tableColumns count="5">
    <tableColumn id="1" xr3:uid="{597F335F-EEAD-4B26-91CE-24ED97AD8EEA}" name="Total sales">
      <calculatedColumnFormula>SUM(K2:K501)</calculatedColumnFormula>
    </tableColumn>
    <tableColumn id="2" xr3:uid="{27A807BD-B69D-4B5E-AA98-A8140DF3C052}" name="Total profit">
      <calculatedColumnFormula>SUM(L2:L501)</calculatedColumnFormula>
    </tableColumn>
    <tableColumn id="3" xr3:uid="{9AFAA78E-8B54-4DED-8E92-30B8C2C2C5A2}" name="Total orders">
      <calculatedColumnFormula>COUNTA(A2:A501)</calculatedColumnFormula>
    </tableColumn>
    <tableColumn id="4" xr3:uid="{06DAFFAB-30B1-4618-823D-EDDECF70BCD2}" name="Total quantity">
      <calculatedColumnFormula>SUM(G2:G501)</calculatedColumnFormula>
    </tableColumn>
    <tableColumn id="5" xr3:uid="{DE41B41C-116E-4434-94DC-5AEC199CA12E}" name="Avg odr value">
      <calculatedColumnFormula>15225478.2/500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4B4C98-E077-4BB0-9F9E-B3A18FCBA9A0}" name="Table3" displayName="Table3" ref="A3:A4" totalsRowShown="0" headerRowDxfId="5">
  <autoFilter ref="A3:A4" xr:uid="{D54B4C98-E077-4BB0-9F9E-B3A18FCBA9A0}"/>
  <tableColumns count="1">
    <tableColumn id="1" xr3:uid="{125389A2-A056-4621-AB9D-5762843CE69D}" name="Total 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B2149D-9627-490F-9A57-E262ABF8A622}" name="Table4" displayName="Table4" ref="D3:D4" totalsRowShown="0">
  <autoFilter ref="D3:D4" xr:uid="{E4B2149D-9627-490F-9A57-E262ABF8A622}"/>
  <tableColumns count="1">
    <tableColumn id="1" xr3:uid="{DACB2C80-A634-413F-95C8-F91EBD590845}" name="Total Prof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0C993F-7F65-4D74-9CD3-43AE3455BDF5}" name="Table5" displayName="Table5" ref="G3:G4" totalsRowShown="0" headerRowDxfId="4">
  <autoFilter ref="G3:G4" xr:uid="{AE0C993F-7F65-4D74-9CD3-43AE3455BDF5}"/>
  <tableColumns count="1">
    <tableColumn id="1" xr3:uid="{8C3437E5-631A-4667-94BA-B1DA327FEFD5}" name="Total 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392B90-C258-43CF-803C-6E971DB9530A}" name="Table6" displayName="Table6" ref="J3:J4" totalsRowShown="0" headerRowDxfId="3">
  <autoFilter ref="J3:J4" xr:uid="{D0392B90-C258-43CF-803C-6E971DB9530A}"/>
  <tableColumns count="1">
    <tableColumn id="1" xr3:uid="{EF2DF323-3C22-4F65-B555-E937914613F6}" name="Total Quant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7FF399-B654-40AF-9EDD-AA49CB53AA63}" name="Table7" displayName="Table7" ref="M3:M4" totalsRowShown="0" headerRowDxfId="0" dataDxfId="1">
  <autoFilter ref="M3:M4" xr:uid="{857FF399-B654-40AF-9EDD-AA49CB53AA63}"/>
  <tableColumns count="1">
    <tableColumn id="1" xr3:uid="{2BD4FD78-EE89-481A-9B78-F970881AACE3}" name="Avg Order 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B627-34C0-431E-86EE-E6C826F5F75F}">
  <dimension ref="A3:M36"/>
  <sheetViews>
    <sheetView tabSelected="1" workbookViewId="0">
      <selection activeCell="I5" sqref="I5:J8"/>
    </sheetView>
  </sheetViews>
  <sheetFormatPr defaultRowHeight="14.4" x14ac:dyDescent="0.3"/>
  <cols>
    <col min="1" max="1" width="12.5546875" bestFit="1" customWidth="1"/>
    <col min="2" max="2" width="12" bestFit="1" customWidth="1"/>
    <col min="8" max="9" width="12.5546875" bestFit="1" customWidth="1"/>
    <col min="10" max="10" width="12" bestFit="1" customWidth="1"/>
    <col min="12" max="12" width="12.5546875" bestFit="1" customWidth="1"/>
    <col min="13" max="13" width="12" bestFit="1" customWidth="1"/>
  </cols>
  <sheetData>
    <row r="3" spans="1:13" x14ac:dyDescent="0.3">
      <c r="A3" s="2" t="s">
        <v>640</v>
      </c>
      <c r="B3" t="s">
        <v>642</v>
      </c>
    </row>
    <row r="4" spans="1:13" x14ac:dyDescent="0.3">
      <c r="A4" s="3" t="s">
        <v>643</v>
      </c>
      <c r="B4">
        <v>1436905.0300000003</v>
      </c>
      <c r="I4" s="2" t="s">
        <v>640</v>
      </c>
      <c r="J4" t="s">
        <v>642</v>
      </c>
    </row>
    <row r="5" spans="1:13" x14ac:dyDescent="0.3">
      <c r="A5" s="3" t="s">
        <v>644</v>
      </c>
      <c r="B5">
        <v>1633974.9000000006</v>
      </c>
      <c r="I5" s="3" t="s">
        <v>51</v>
      </c>
      <c r="J5">
        <v>3666231.5300000007</v>
      </c>
    </row>
    <row r="6" spans="1:13" x14ac:dyDescent="0.3">
      <c r="A6" s="3" t="s">
        <v>645</v>
      </c>
      <c r="B6">
        <v>1335510.4100000004</v>
      </c>
      <c r="I6" s="3" t="s">
        <v>17</v>
      </c>
      <c r="J6">
        <v>4048877.4800000009</v>
      </c>
    </row>
    <row r="7" spans="1:13" x14ac:dyDescent="0.3">
      <c r="A7" s="3" t="s">
        <v>646</v>
      </c>
      <c r="B7">
        <v>1028327.2899999999</v>
      </c>
      <c r="I7" s="3" t="s">
        <v>22</v>
      </c>
      <c r="J7">
        <v>3718173.0899999989</v>
      </c>
    </row>
    <row r="8" spans="1:13" x14ac:dyDescent="0.3">
      <c r="A8" s="3" t="s">
        <v>647</v>
      </c>
      <c r="B8">
        <v>1873356.1399999994</v>
      </c>
      <c r="I8" s="3" t="s">
        <v>27</v>
      </c>
      <c r="J8">
        <v>3792196.120000001</v>
      </c>
    </row>
    <row r="9" spans="1:13" x14ac:dyDescent="0.3">
      <c r="A9" s="3" t="s">
        <v>648</v>
      </c>
      <c r="B9">
        <v>749921.28000000003</v>
      </c>
      <c r="I9" s="3" t="s">
        <v>641</v>
      </c>
      <c r="J9">
        <v>15225478.220000003</v>
      </c>
    </row>
    <row r="10" spans="1:13" x14ac:dyDescent="0.3">
      <c r="A10" s="3" t="s">
        <v>649</v>
      </c>
      <c r="B10">
        <v>1171858.6499999999</v>
      </c>
    </row>
    <row r="11" spans="1:13" x14ac:dyDescent="0.3">
      <c r="A11" s="3" t="s">
        <v>650</v>
      </c>
      <c r="B11">
        <v>1366201.3</v>
      </c>
      <c r="L11" s="2" t="s">
        <v>640</v>
      </c>
      <c r="M11" t="s">
        <v>642</v>
      </c>
    </row>
    <row r="12" spans="1:13" x14ac:dyDescent="0.3">
      <c r="A12" s="3" t="s">
        <v>651</v>
      </c>
      <c r="B12">
        <v>1194782.3400000001</v>
      </c>
      <c r="L12" s="3" t="s">
        <v>26</v>
      </c>
      <c r="M12">
        <v>342455.64999999991</v>
      </c>
    </row>
    <row r="13" spans="1:13" x14ac:dyDescent="0.3">
      <c r="A13" s="3" t="s">
        <v>652</v>
      </c>
      <c r="B13">
        <v>1407263.18</v>
      </c>
      <c r="L13" s="3" t="s">
        <v>55</v>
      </c>
      <c r="M13">
        <v>283455.58999999991</v>
      </c>
    </row>
    <row r="14" spans="1:13" x14ac:dyDescent="0.3">
      <c r="A14" s="3" t="s">
        <v>653</v>
      </c>
      <c r="B14">
        <v>833843.28000000014</v>
      </c>
      <c r="L14" s="3" t="s">
        <v>16</v>
      </c>
      <c r="M14">
        <v>11592702.080000002</v>
      </c>
    </row>
    <row r="15" spans="1:13" x14ac:dyDescent="0.3">
      <c r="A15" s="3" t="s">
        <v>654</v>
      </c>
      <c r="B15">
        <v>1193534.4200000002</v>
      </c>
      <c r="H15" s="2" t="s">
        <v>640</v>
      </c>
      <c r="I15" t="s">
        <v>642</v>
      </c>
      <c r="L15" s="3" t="s">
        <v>40</v>
      </c>
      <c r="M15">
        <v>1109053.2799999996</v>
      </c>
    </row>
    <row r="16" spans="1:13" x14ac:dyDescent="0.3">
      <c r="A16" s="3" t="s">
        <v>641</v>
      </c>
      <c r="B16">
        <v>15225478.220000001</v>
      </c>
      <c r="H16" s="3" t="s">
        <v>54</v>
      </c>
      <c r="I16">
        <v>283455.58999999991</v>
      </c>
      <c r="L16" s="3" t="s">
        <v>35</v>
      </c>
      <c r="M16">
        <v>1897811.6200000003</v>
      </c>
    </row>
    <row r="17" spans="8:13" x14ac:dyDescent="0.3">
      <c r="H17" s="3" t="s">
        <v>74</v>
      </c>
      <c r="I17">
        <v>904658.47999999986</v>
      </c>
      <c r="L17" s="3" t="s">
        <v>641</v>
      </c>
      <c r="M17">
        <v>15225478.220000003</v>
      </c>
    </row>
    <row r="18" spans="8:13" x14ac:dyDescent="0.3">
      <c r="H18" s="3" t="s">
        <v>45</v>
      </c>
      <c r="I18">
        <v>357985.22</v>
      </c>
    </row>
    <row r="19" spans="8:13" x14ac:dyDescent="0.3">
      <c r="H19" s="3" t="s">
        <v>25</v>
      </c>
      <c r="I19">
        <v>220841.31000000003</v>
      </c>
    </row>
    <row r="20" spans="8:13" x14ac:dyDescent="0.3">
      <c r="H20" s="3" t="s">
        <v>21</v>
      </c>
      <c r="I20">
        <v>7931354.5599999996</v>
      </c>
    </row>
    <row r="21" spans="8:13" x14ac:dyDescent="0.3">
      <c r="H21" s="3" t="s">
        <v>31</v>
      </c>
      <c r="I21">
        <v>121614.34000000001</v>
      </c>
    </row>
    <row r="22" spans="8:13" x14ac:dyDescent="0.3">
      <c r="H22" s="3" t="s">
        <v>34</v>
      </c>
      <c r="I22">
        <v>993153.14000000036</v>
      </c>
    </row>
    <row r="23" spans="8:13" x14ac:dyDescent="0.3">
      <c r="H23" s="3" t="s">
        <v>39</v>
      </c>
      <c r="I23">
        <v>407554.91999999993</v>
      </c>
      <c r="L23" s="2" t="s">
        <v>640</v>
      </c>
      <c r="M23" t="s">
        <v>642</v>
      </c>
    </row>
    <row r="24" spans="8:13" x14ac:dyDescent="0.3">
      <c r="H24" s="3" t="s">
        <v>15</v>
      </c>
      <c r="I24">
        <v>3303362.3000000003</v>
      </c>
      <c r="L24" s="3" t="s">
        <v>643</v>
      </c>
      <c r="M24">
        <v>1436905.0300000003</v>
      </c>
    </row>
    <row r="25" spans="8:13" x14ac:dyDescent="0.3">
      <c r="H25" s="3" t="s">
        <v>58</v>
      </c>
      <c r="I25">
        <v>701498.35999999964</v>
      </c>
      <c r="L25" s="3" t="s">
        <v>644</v>
      </c>
      <c r="M25">
        <v>1633974.9000000006</v>
      </c>
    </row>
    <row r="26" spans="8:13" x14ac:dyDescent="0.3">
      <c r="H26" s="3" t="s">
        <v>641</v>
      </c>
      <c r="I26">
        <v>15225478.220000001</v>
      </c>
      <c r="L26" s="3" t="s">
        <v>645</v>
      </c>
      <c r="M26">
        <v>1335510.4100000004</v>
      </c>
    </row>
    <row r="27" spans="8:13" x14ac:dyDescent="0.3">
      <c r="L27" s="3" t="s">
        <v>646</v>
      </c>
      <c r="M27">
        <v>1028327.2899999999</v>
      </c>
    </row>
    <row r="28" spans="8:13" x14ac:dyDescent="0.3">
      <c r="L28" s="3" t="s">
        <v>647</v>
      </c>
      <c r="M28">
        <v>1873356.1399999994</v>
      </c>
    </row>
    <row r="29" spans="8:13" x14ac:dyDescent="0.3">
      <c r="L29" s="3" t="s">
        <v>648</v>
      </c>
      <c r="M29">
        <v>749921.28000000003</v>
      </c>
    </row>
    <row r="30" spans="8:13" x14ac:dyDescent="0.3">
      <c r="L30" s="3" t="s">
        <v>649</v>
      </c>
      <c r="M30">
        <v>1171858.6499999999</v>
      </c>
    </row>
    <row r="31" spans="8:13" x14ac:dyDescent="0.3">
      <c r="L31" s="3" t="s">
        <v>650</v>
      </c>
      <c r="M31">
        <v>1366201.3</v>
      </c>
    </row>
    <row r="32" spans="8:13" x14ac:dyDescent="0.3">
      <c r="L32" s="3" t="s">
        <v>651</v>
      </c>
      <c r="M32">
        <v>1194782.3400000001</v>
      </c>
    </row>
    <row r="33" spans="12:13" x14ac:dyDescent="0.3">
      <c r="L33" s="3" t="s">
        <v>652</v>
      </c>
      <c r="M33">
        <v>1407263.18</v>
      </c>
    </row>
    <row r="34" spans="12:13" x14ac:dyDescent="0.3">
      <c r="L34" s="3" t="s">
        <v>653</v>
      </c>
      <c r="M34">
        <v>833843.28000000014</v>
      </c>
    </row>
    <row r="35" spans="12:13" x14ac:dyDescent="0.3">
      <c r="L35" s="3" t="s">
        <v>654</v>
      </c>
      <c r="M35">
        <v>1193534.4200000002</v>
      </c>
    </row>
    <row r="36" spans="12:13" x14ac:dyDescent="0.3">
      <c r="L36" s="3" t="s">
        <v>641</v>
      </c>
      <c r="M36">
        <v>15225478.220000001</v>
      </c>
    </row>
  </sheetData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7023-D57E-4E74-A936-CB0A63CA31CA}">
  <dimension ref="A3:T43"/>
  <sheetViews>
    <sheetView topLeftCell="L1" workbookViewId="0">
      <selection activeCell="S4" sqref="S4:T8"/>
    </sheetView>
  </sheetViews>
  <sheetFormatPr defaultRowHeight="14.4" x14ac:dyDescent="0.3"/>
  <cols>
    <col min="1" max="1" width="14.5546875" bestFit="1" customWidth="1"/>
    <col min="2" max="2" width="12" bestFit="1" customWidth="1"/>
    <col min="6" max="6" width="12.5546875" bestFit="1" customWidth="1"/>
    <col min="7" max="7" width="11.6640625" bestFit="1" customWidth="1"/>
    <col min="19" max="19" width="12.5546875" bestFit="1" customWidth="1"/>
    <col min="20" max="20" width="12.109375" bestFit="1" customWidth="1"/>
  </cols>
  <sheetData>
    <row r="3" spans="1:20" x14ac:dyDescent="0.3">
      <c r="A3" s="2" t="s">
        <v>640</v>
      </c>
      <c r="B3" t="s">
        <v>642</v>
      </c>
      <c r="S3" s="2" t="s">
        <v>640</v>
      </c>
      <c r="T3" t="s">
        <v>655</v>
      </c>
    </row>
    <row r="4" spans="1:20" x14ac:dyDescent="0.3">
      <c r="A4" s="3" t="s">
        <v>18</v>
      </c>
      <c r="B4">
        <v>3596480.1099999989</v>
      </c>
      <c r="S4" s="3" t="s">
        <v>26</v>
      </c>
      <c r="T4" s="9">
        <v>81602.479999999938</v>
      </c>
    </row>
    <row r="5" spans="1:20" x14ac:dyDescent="0.3">
      <c r="A5" s="3" t="s">
        <v>46</v>
      </c>
      <c r="B5">
        <v>4302195.5099999988</v>
      </c>
      <c r="S5" s="3" t="s">
        <v>55</v>
      </c>
      <c r="T5" s="9">
        <v>70842.480000000025</v>
      </c>
    </row>
    <row r="6" spans="1:20" x14ac:dyDescent="0.3">
      <c r="A6" s="3" t="s">
        <v>28</v>
      </c>
      <c r="B6">
        <v>4316417.6600000011</v>
      </c>
      <c r="S6" s="3" t="s">
        <v>16</v>
      </c>
      <c r="T6" s="9">
        <v>2893175.6999999988</v>
      </c>
    </row>
    <row r="7" spans="1:20" x14ac:dyDescent="0.3">
      <c r="A7" s="3" t="s">
        <v>36</v>
      </c>
      <c r="B7">
        <v>3010384.9400000018</v>
      </c>
      <c r="S7" s="3" t="s">
        <v>40</v>
      </c>
      <c r="T7" s="9">
        <v>284412.96000000008</v>
      </c>
    </row>
    <row r="8" spans="1:20" x14ac:dyDescent="0.3">
      <c r="A8" s="3" t="s">
        <v>641</v>
      </c>
      <c r="B8">
        <v>15225478.219999999</v>
      </c>
      <c r="S8" s="3" t="s">
        <v>35</v>
      </c>
      <c r="T8" s="9">
        <v>467014.22000000003</v>
      </c>
    </row>
    <row r="9" spans="1:20" x14ac:dyDescent="0.3">
      <c r="S9" s="3" t="s">
        <v>641</v>
      </c>
      <c r="T9" s="9">
        <v>3797047.8399999989</v>
      </c>
    </row>
    <row r="12" spans="1:20" x14ac:dyDescent="0.3">
      <c r="F12" s="2" t="s">
        <v>10</v>
      </c>
      <c r="G12" t="s">
        <v>656</v>
      </c>
    </row>
    <row r="14" spans="1:20" x14ac:dyDescent="0.3">
      <c r="F14" s="2" t="s">
        <v>640</v>
      </c>
      <c r="G14" t="s">
        <v>642</v>
      </c>
    </row>
    <row r="15" spans="1:20" x14ac:dyDescent="0.3">
      <c r="F15" s="3" t="s">
        <v>86</v>
      </c>
      <c r="G15">
        <v>552284.28</v>
      </c>
    </row>
    <row r="16" spans="1:20" x14ac:dyDescent="0.3">
      <c r="F16" s="3" t="s">
        <v>227</v>
      </c>
      <c r="G16">
        <v>606551.21</v>
      </c>
    </row>
    <row r="17" spans="1:7" x14ac:dyDescent="0.3">
      <c r="F17" s="3" t="s">
        <v>215</v>
      </c>
      <c r="G17">
        <v>387368.64</v>
      </c>
    </row>
    <row r="18" spans="1:7" x14ac:dyDescent="0.3">
      <c r="F18" s="3" t="s">
        <v>350</v>
      </c>
      <c r="G18">
        <v>413429.87</v>
      </c>
    </row>
    <row r="19" spans="1:7" x14ac:dyDescent="0.3">
      <c r="F19" s="3" t="s">
        <v>160</v>
      </c>
      <c r="G19">
        <v>397261.83000000007</v>
      </c>
    </row>
    <row r="20" spans="1:7" x14ac:dyDescent="0.3">
      <c r="F20" s="3" t="s">
        <v>157</v>
      </c>
      <c r="G20">
        <v>480491.63</v>
      </c>
    </row>
    <row r="21" spans="1:7" x14ac:dyDescent="0.3">
      <c r="F21" s="3" t="s">
        <v>363</v>
      </c>
      <c r="G21">
        <v>473152.8</v>
      </c>
    </row>
    <row r="22" spans="1:7" x14ac:dyDescent="0.3">
      <c r="F22" s="3" t="s">
        <v>57</v>
      </c>
      <c r="G22">
        <v>407169.87</v>
      </c>
    </row>
    <row r="23" spans="1:7" x14ac:dyDescent="0.3">
      <c r="F23" s="3" t="s">
        <v>92</v>
      </c>
      <c r="G23">
        <v>366264.73</v>
      </c>
    </row>
    <row r="24" spans="1:7" x14ac:dyDescent="0.3">
      <c r="F24" s="3" t="s">
        <v>24</v>
      </c>
      <c r="G24">
        <v>476024.50000000006</v>
      </c>
    </row>
    <row r="25" spans="1:7" x14ac:dyDescent="0.3">
      <c r="F25" s="3" t="s">
        <v>641</v>
      </c>
      <c r="G25">
        <v>4559999.3600000003</v>
      </c>
    </row>
    <row r="32" spans="1:7" x14ac:dyDescent="0.3">
      <c r="A32" s="2" t="s">
        <v>640</v>
      </c>
      <c r="B32" t="s">
        <v>642</v>
      </c>
      <c r="C32" t="s">
        <v>655</v>
      </c>
    </row>
    <row r="33" spans="1:3" x14ac:dyDescent="0.3">
      <c r="A33" s="3">
        <v>0</v>
      </c>
      <c r="B33">
        <v>3012341.4899999993</v>
      </c>
      <c r="C33">
        <v>961310.03</v>
      </c>
    </row>
    <row r="34" spans="1:3" x14ac:dyDescent="0.3">
      <c r="A34" s="3">
        <v>0.05</v>
      </c>
      <c r="B34">
        <v>2131109.04</v>
      </c>
      <c r="C34">
        <v>579780.92999999993</v>
      </c>
    </row>
    <row r="35" spans="1:3" x14ac:dyDescent="0.3">
      <c r="A35" s="3">
        <v>0.1</v>
      </c>
      <c r="B35">
        <v>4238455.17</v>
      </c>
      <c r="C35">
        <v>1024999.0400000002</v>
      </c>
    </row>
    <row r="36" spans="1:3" x14ac:dyDescent="0.3">
      <c r="A36" s="3">
        <v>0.15</v>
      </c>
      <c r="B36">
        <v>3484447.9700000016</v>
      </c>
      <c r="C36">
        <v>733973.32000000053</v>
      </c>
    </row>
    <row r="37" spans="1:3" x14ac:dyDescent="0.3">
      <c r="A37" s="3">
        <v>0.2</v>
      </c>
      <c r="B37">
        <v>2359124.5499999989</v>
      </c>
      <c r="C37">
        <v>496984.51999999996</v>
      </c>
    </row>
    <row r="38" spans="1:3" x14ac:dyDescent="0.3">
      <c r="A38" s="3" t="s">
        <v>641</v>
      </c>
      <c r="B38">
        <v>15225478.220000001</v>
      </c>
      <c r="C38">
        <v>3797047.8400000003</v>
      </c>
    </row>
    <row r="39" spans="1:3" x14ac:dyDescent="0.3">
      <c r="A39" s="3"/>
    </row>
    <row r="40" spans="1:3" x14ac:dyDescent="0.3">
      <c r="A40" s="3"/>
    </row>
    <row r="41" spans="1:3" x14ac:dyDescent="0.3">
      <c r="A41" s="3"/>
    </row>
    <row r="42" spans="1:3" x14ac:dyDescent="0.3">
      <c r="A42" s="3"/>
    </row>
    <row r="43" spans="1:3" x14ac:dyDescent="0.3">
      <c r="A43" s="4"/>
      <c r="B43" s="5"/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6290-13F0-40F2-ACF2-A7AADAE79882}">
  <dimension ref="A1:S501"/>
  <sheetViews>
    <sheetView topLeftCell="A2" workbookViewId="0">
      <selection activeCell="A7" sqref="A2:M501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9.5546875" customWidth="1"/>
    <col min="5" max="5" width="10.44140625" customWidth="1"/>
    <col min="7" max="7" width="10.21875" customWidth="1"/>
    <col min="8" max="8" width="11.5546875" customWidth="1"/>
    <col min="9" max="9" width="10.21875" customWidth="1"/>
    <col min="13" max="13" width="16.44140625" customWidth="1"/>
    <col min="15" max="15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9" x14ac:dyDescent="0.3">
      <c r="A2" t="s">
        <v>13</v>
      </c>
      <c r="B2" s="1">
        <v>45710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20413.97</v>
      </c>
      <c r="I2">
        <v>0.1</v>
      </c>
      <c r="J2">
        <v>13446.91</v>
      </c>
      <c r="K2">
        <v>18372.57</v>
      </c>
      <c r="L2">
        <v>4925.66</v>
      </c>
      <c r="M2" t="s">
        <v>18</v>
      </c>
    </row>
    <row r="3" spans="1:19" x14ac:dyDescent="0.3">
      <c r="A3" t="s">
        <v>19</v>
      </c>
      <c r="B3" s="1">
        <v>45671</v>
      </c>
      <c r="C3" t="s">
        <v>20</v>
      </c>
      <c r="D3" t="s">
        <v>21</v>
      </c>
      <c r="E3" t="s">
        <v>16</v>
      </c>
      <c r="F3" t="s">
        <v>22</v>
      </c>
      <c r="G3">
        <v>1</v>
      </c>
      <c r="H3">
        <v>55058.91</v>
      </c>
      <c r="I3">
        <v>0</v>
      </c>
      <c r="J3">
        <v>33256.269999999997</v>
      </c>
      <c r="K3">
        <v>55058.91</v>
      </c>
      <c r="L3">
        <v>21802.639999999999</v>
      </c>
      <c r="M3" t="s">
        <v>18</v>
      </c>
    </row>
    <row r="4" spans="1:19" x14ac:dyDescent="0.3">
      <c r="A4" t="s">
        <v>23</v>
      </c>
      <c r="B4" s="1">
        <v>45739</v>
      </c>
      <c r="C4" t="s">
        <v>24</v>
      </c>
      <c r="D4" t="s">
        <v>25</v>
      </c>
      <c r="E4" t="s">
        <v>26</v>
      </c>
      <c r="F4" t="s">
        <v>27</v>
      </c>
      <c r="G4">
        <v>4</v>
      </c>
      <c r="H4">
        <v>1932.95</v>
      </c>
      <c r="I4">
        <v>0.2</v>
      </c>
      <c r="J4">
        <v>4460.76</v>
      </c>
      <c r="K4">
        <v>6185.44</v>
      </c>
      <c r="L4">
        <v>1724.68</v>
      </c>
      <c r="M4" t="s">
        <v>28</v>
      </c>
    </row>
    <row r="5" spans="1:19" x14ac:dyDescent="0.3">
      <c r="A5" t="s">
        <v>29</v>
      </c>
      <c r="B5" s="1">
        <v>45705</v>
      </c>
      <c r="C5" t="s">
        <v>30</v>
      </c>
      <c r="D5" t="s">
        <v>31</v>
      </c>
      <c r="E5" t="s">
        <v>26</v>
      </c>
      <c r="F5" t="s">
        <v>17</v>
      </c>
      <c r="G5">
        <v>2</v>
      </c>
      <c r="H5">
        <v>870.59</v>
      </c>
      <c r="I5">
        <v>0.05</v>
      </c>
      <c r="J5">
        <v>1420.74</v>
      </c>
      <c r="K5">
        <v>1654.12</v>
      </c>
      <c r="L5">
        <v>233.38</v>
      </c>
      <c r="M5" t="s">
        <v>28</v>
      </c>
    </row>
    <row r="6" spans="1:19" x14ac:dyDescent="0.3">
      <c r="A6" t="s">
        <v>32</v>
      </c>
      <c r="B6" s="1">
        <v>45932</v>
      </c>
      <c r="C6" t="s">
        <v>33</v>
      </c>
      <c r="D6" t="s">
        <v>34</v>
      </c>
      <c r="E6" t="s">
        <v>35</v>
      </c>
      <c r="F6" t="s">
        <v>27</v>
      </c>
      <c r="G6">
        <v>5</v>
      </c>
      <c r="H6">
        <v>8890.5400000000009</v>
      </c>
      <c r="I6">
        <v>0.1</v>
      </c>
      <c r="J6">
        <v>31950.75</v>
      </c>
      <c r="K6">
        <v>40007.43</v>
      </c>
      <c r="L6">
        <v>8056.68</v>
      </c>
      <c r="M6" t="s">
        <v>36</v>
      </c>
    </row>
    <row r="7" spans="1:19" x14ac:dyDescent="0.3">
      <c r="A7" t="s">
        <v>37</v>
      </c>
      <c r="B7" s="1">
        <v>45756</v>
      </c>
      <c r="C7" t="s">
        <v>38</v>
      </c>
      <c r="D7" t="s">
        <v>39</v>
      </c>
      <c r="E7" t="s">
        <v>40</v>
      </c>
      <c r="F7" t="s">
        <v>17</v>
      </c>
      <c r="G7">
        <v>3</v>
      </c>
      <c r="H7">
        <v>3111.45</v>
      </c>
      <c r="I7">
        <v>0.2</v>
      </c>
      <c r="J7">
        <v>7405.08</v>
      </c>
      <c r="K7">
        <v>7467.48</v>
      </c>
      <c r="L7">
        <v>62.4</v>
      </c>
      <c r="M7" t="s">
        <v>36</v>
      </c>
    </row>
    <row r="8" spans="1:19" x14ac:dyDescent="0.3">
      <c r="A8" t="s">
        <v>41</v>
      </c>
      <c r="B8" s="1">
        <v>45852</v>
      </c>
      <c r="C8" t="s">
        <v>42</v>
      </c>
      <c r="D8" t="s">
        <v>25</v>
      </c>
      <c r="E8" t="s">
        <v>26</v>
      </c>
      <c r="F8" t="s">
        <v>27</v>
      </c>
      <c r="G8">
        <v>3</v>
      </c>
      <c r="H8">
        <v>1931.93</v>
      </c>
      <c r="I8">
        <v>0</v>
      </c>
      <c r="J8">
        <v>4124.67</v>
      </c>
      <c r="K8">
        <v>5795.79</v>
      </c>
      <c r="L8">
        <v>1671.12</v>
      </c>
      <c r="M8" t="s">
        <v>28</v>
      </c>
    </row>
    <row r="9" spans="1:19" x14ac:dyDescent="0.3">
      <c r="A9" t="s">
        <v>43</v>
      </c>
      <c r="B9" s="1">
        <v>46007</v>
      </c>
      <c r="C9" t="s">
        <v>44</v>
      </c>
      <c r="D9" t="s">
        <v>45</v>
      </c>
      <c r="E9" t="s">
        <v>16</v>
      </c>
      <c r="F9" t="s">
        <v>17</v>
      </c>
      <c r="G9">
        <v>3</v>
      </c>
      <c r="H9">
        <v>2383.4899999999998</v>
      </c>
      <c r="I9">
        <v>0.1</v>
      </c>
      <c r="J9">
        <v>4517.82</v>
      </c>
      <c r="K9">
        <v>6435.42</v>
      </c>
      <c r="L9">
        <v>1917.6</v>
      </c>
      <c r="M9" t="s">
        <v>46</v>
      </c>
    </row>
    <row r="10" spans="1:19" x14ac:dyDescent="0.3">
      <c r="A10" t="s">
        <v>47</v>
      </c>
      <c r="B10" s="1">
        <v>45985</v>
      </c>
      <c r="C10" t="s">
        <v>48</v>
      </c>
      <c r="D10" t="s">
        <v>39</v>
      </c>
      <c r="E10" t="s">
        <v>40</v>
      </c>
      <c r="F10" t="s">
        <v>22</v>
      </c>
      <c r="G10">
        <v>2</v>
      </c>
      <c r="H10">
        <v>3052.77</v>
      </c>
      <c r="I10">
        <v>0.05</v>
      </c>
      <c r="J10">
        <v>4259.62</v>
      </c>
      <c r="K10">
        <v>5800.26</v>
      </c>
      <c r="L10">
        <v>1540.64</v>
      </c>
      <c r="M10" t="s">
        <v>28</v>
      </c>
    </row>
    <row r="11" spans="1:19" x14ac:dyDescent="0.3">
      <c r="A11" t="s">
        <v>49</v>
      </c>
      <c r="B11" s="1">
        <v>45691</v>
      </c>
      <c r="C11" t="s">
        <v>50</v>
      </c>
      <c r="D11" t="s">
        <v>21</v>
      </c>
      <c r="E11" t="s">
        <v>16</v>
      </c>
      <c r="F11" t="s">
        <v>51</v>
      </c>
      <c r="G11">
        <v>2</v>
      </c>
      <c r="H11">
        <v>53912.81</v>
      </c>
      <c r="I11">
        <v>0</v>
      </c>
      <c r="J11">
        <v>82638.759999999995</v>
      </c>
      <c r="K11">
        <v>107825.62</v>
      </c>
      <c r="L11">
        <v>25186.86</v>
      </c>
      <c r="M11" t="s">
        <v>46</v>
      </c>
    </row>
    <row r="12" spans="1:19" x14ac:dyDescent="0.3">
      <c r="A12" t="s">
        <v>52</v>
      </c>
      <c r="B12" s="1">
        <v>45945</v>
      </c>
      <c r="C12" t="s">
        <v>53</v>
      </c>
      <c r="D12" t="s">
        <v>54</v>
      </c>
      <c r="E12" t="s">
        <v>55</v>
      </c>
      <c r="F12" t="s">
        <v>51</v>
      </c>
      <c r="G12">
        <v>4</v>
      </c>
      <c r="H12">
        <v>1670.27</v>
      </c>
      <c r="I12">
        <v>0.15</v>
      </c>
      <c r="J12">
        <v>4217.16</v>
      </c>
      <c r="K12">
        <v>5678.92</v>
      </c>
      <c r="L12">
        <v>1461.76</v>
      </c>
      <c r="M12" t="s">
        <v>18</v>
      </c>
    </row>
    <row r="13" spans="1:19" x14ac:dyDescent="0.3">
      <c r="A13" t="s">
        <v>56</v>
      </c>
      <c r="B13" s="1">
        <v>45918</v>
      </c>
      <c r="C13" t="s">
        <v>57</v>
      </c>
      <c r="D13" t="s">
        <v>58</v>
      </c>
      <c r="E13" t="s">
        <v>40</v>
      </c>
      <c r="F13" t="s">
        <v>17</v>
      </c>
      <c r="G13">
        <v>4</v>
      </c>
      <c r="H13">
        <v>4947.78</v>
      </c>
      <c r="I13">
        <v>0.1</v>
      </c>
      <c r="J13">
        <v>10886.96</v>
      </c>
      <c r="K13">
        <v>17812.009999999998</v>
      </c>
      <c r="L13">
        <v>6925.05</v>
      </c>
      <c r="M13" t="s">
        <v>36</v>
      </c>
    </row>
    <row r="14" spans="1:19" x14ac:dyDescent="0.3">
      <c r="A14" t="s">
        <v>59</v>
      </c>
      <c r="B14" s="1">
        <v>45690</v>
      </c>
      <c r="C14" t="s">
        <v>60</v>
      </c>
      <c r="D14" t="s">
        <v>15</v>
      </c>
      <c r="E14" t="s">
        <v>16</v>
      </c>
      <c r="F14" t="s">
        <v>27</v>
      </c>
      <c r="G14">
        <v>2</v>
      </c>
      <c r="H14">
        <v>21657.5</v>
      </c>
      <c r="I14">
        <v>0.05</v>
      </c>
      <c r="J14">
        <v>32912.879999999997</v>
      </c>
      <c r="K14">
        <v>41149.25</v>
      </c>
      <c r="L14">
        <v>8236.3700000000008</v>
      </c>
      <c r="M14" t="s">
        <v>18</v>
      </c>
    </row>
    <row r="15" spans="1:19" x14ac:dyDescent="0.3">
      <c r="A15" t="s">
        <v>61</v>
      </c>
      <c r="B15" s="1">
        <v>45716</v>
      </c>
      <c r="C15" t="s">
        <v>62</v>
      </c>
      <c r="D15" t="s">
        <v>39</v>
      </c>
      <c r="E15" t="s">
        <v>40</v>
      </c>
      <c r="F15" t="s">
        <v>51</v>
      </c>
      <c r="G15">
        <v>3</v>
      </c>
      <c r="H15">
        <v>2887.35</v>
      </c>
      <c r="I15">
        <v>0.2</v>
      </c>
      <c r="J15">
        <v>7345.86</v>
      </c>
      <c r="K15">
        <v>6929.64</v>
      </c>
      <c r="L15">
        <v>-416.22</v>
      </c>
      <c r="M15" t="s">
        <v>28</v>
      </c>
      <c r="O15" t="s">
        <v>635</v>
      </c>
      <c r="P15" t="s">
        <v>636</v>
      </c>
      <c r="Q15" t="s">
        <v>637</v>
      </c>
      <c r="R15" t="s">
        <v>638</v>
      </c>
      <c r="S15" t="s">
        <v>639</v>
      </c>
    </row>
    <row r="16" spans="1:19" x14ac:dyDescent="0.3">
      <c r="A16" t="s">
        <v>63</v>
      </c>
      <c r="B16" s="1">
        <v>45792</v>
      </c>
      <c r="C16" t="s">
        <v>64</v>
      </c>
      <c r="D16" t="s">
        <v>15</v>
      </c>
      <c r="E16" t="s">
        <v>16</v>
      </c>
      <c r="F16" t="s">
        <v>22</v>
      </c>
      <c r="G16">
        <v>3</v>
      </c>
      <c r="H16">
        <v>19814.28</v>
      </c>
      <c r="I16">
        <v>0.15</v>
      </c>
      <c r="J16">
        <v>38909.61</v>
      </c>
      <c r="K16">
        <v>50526.41</v>
      </c>
      <c r="L16">
        <v>11616.8</v>
      </c>
      <c r="M16" t="s">
        <v>36</v>
      </c>
      <c r="O16">
        <f>SUM(K2:K501)</f>
        <v>15225478.219999999</v>
      </c>
      <c r="P16">
        <f>SUM(L2:L501)</f>
        <v>3797047.8399999947</v>
      </c>
      <c r="Q16">
        <f>COUNTA(A2:A501)</f>
        <v>500</v>
      </c>
      <c r="R16">
        <f>SUM(G2:G501)</f>
        <v>1548</v>
      </c>
      <c r="S16">
        <f>15225478.2/500</f>
        <v>30450.956399999999</v>
      </c>
    </row>
    <row r="17" spans="1:13" x14ac:dyDescent="0.3">
      <c r="A17" t="s">
        <v>65</v>
      </c>
      <c r="B17" s="1">
        <v>45740</v>
      </c>
      <c r="C17" t="s">
        <v>66</v>
      </c>
      <c r="D17" t="s">
        <v>31</v>
      </c>
      <c r="E17" t="s">
        <v>26</v>
      </c>
      <c r="F17" t="s">
        <v>17</v>
      </c>
      <c r="G17">
        <v>5</v>
      </c>
      <c r="H17">
        <v>877.3</v>
      </c>
      <c r="I17">
        <v>0.2</v>
      </c>
      <c r="J17">
        <v>2698.75</v>
      </c>
      <c r="K17">
        <v>3509.2</v>
      </c>
      <c r="L17">
        <v>810.45</v>
      </c>
      <c r="M17" t="s">
        <v>28</v>
      </c>
    </row>
    <row r="18" spans="1:13" x14ac:dyDescent="0.3">
      <c r="A18" t="s">
        <v>67</v>
      </c>
      <c r="B18" s="1">
        <v>45815</v>
      </c>
      <c r="C18" t="s">
        <v>68</v>
      </c>
      <c r="D18" t="s">
        <v>54</v>
      </c>
      <c r="E18" t="s">
        <v>55</v>
      </c>
      <c r="F18" t="s">
        <v>17</v>
      </c>
      <c r="G18">
        <v>1</v>
      </c>
      <c r="H18">
        <v>1936.34</v>
      </c>
      <c r="I18">
        <v>0</v>
      </c>
      <c r="J18">
        <v>1408.09</v>
      </c>
      <c r="K18">
        <v>1936.34</v>
      </c>
      <c r="L18">
        <v>528.25</v>
      </c>
      <c r="M18" t="s">
        <v>46</v>
      </c>
    </row>
    <row r="19" spans="1:13" x14ac:dyDescent="0.3">
      <c r="A19" t="s">
        <v>69</v>
      </c>
      <c r="B19" s="1">
        <v>45930</v>
      </c>
      <c r="C19" t="s">
        <v>70</v>
      </c>
      <c r="D19" t="s">
        <v>58</v>
      </c>
      <c r="E19" t="s">
        <v>40</v>
      </c>
      <c r="F19" t="s">
        <v>22</v>
      </c>
      <c r="G19">
        <v>1</v>
      </c>
      <c r="H19">
        <v>4784.42</v>
      </c>
      <c r="I19">
        <v>0</v>
      </c>
      <c r="J19">
        <v>3298.4</v>
      </c>
      <c r="K19">
        <v>4784.42</v>
      </c>
      <c r="L19">
        <v>1486.02</v>
      </c>
      <c r="M19" t="s">
        <v>46</v>
      </c>
    </row>
    <row r="20" spans="1:13" x14ac:dyDescent="0.3">
      <c r="A20" t="s">
        <v>71</v>
      </c>
      <c r="B20" s="1">
        <v>45874</v>
      </c>
      <c r="C20" t="s">
        <v>50</v>
      </c>
      <c r="D20" t="s">
        <v>54</v>
      </c>
      <c r="E20" t="s">
        <v>55</v>
      </c>
      <c r="F20" t="s">
        <v>22</v>
      </c>
      <c r="G20">
        <v>5</v>
      </c>
      <c r="H20">
        <v>1934.08</v>
      </c>
      <c r="I20">
        <v>0.05</v>
      </c>
      <c r="J20">
        <v>5546.4</v>
      </c>
      <c r="K20">
        <v>9186.8799999999992</v>
      </c>
      <c r="L20">
        <v>3640.48</v>
      </c>
      <c r="M20" t="s">
        <v>28</v>
      </c>
    </row>
    <row r="21" spans="1:13" x14ac:dyDescent="0.3">
      <c r="A21" t="s">
        <v>72</v>
      </c>
      <c r="B21" s="1">
        <v>45784</v>
      </c>
      <c r="C21" t="s">
        <v>73</v>
      </c>
      <c r="D21" t="s">
        <v>74</v>
      </c>
      <c r="E21" t="s">
        <v>35</v>
      </c>
      <c r="F21" t="s">
        <v>17</v>
      </c>
      <c r="G21">
        <v>3</v>
      </c>
      <c r="H21">
        <v>6436.93</v>
      </c>
      <c r="I21">
        <v>0.15</v>
      </c>
      <c r="J21">
        <v>15110.61</v>
      </c>
      <c r="K21">
        <v>16414.169999999998</v>
      </c>
      <c r="L21">
        <v>1303.56</v>
      </c>
      <c r="M21" t="s">
        <v>28</v>
      </c>
    </row>
    <row r="22" spans="1:13" x14ac:dyDescent="0.3">
      <c r="A22" t="s">
        <v>75</v>
      </c>
      <c r="B22" s="1">
        <v>45694</v>
      </c>
      <c r="C22" t="s">
        <v>38</v>
      </c>
      <c r="D22" t="s">
        <v>21</v>
      </c>
      <c r="E22" t="s">
        <v>16</v>
      </c>
      <c r="F22" t="s">
        <v>17</v>
      </c>
      <c r="G22">
        <v>5</v>
      </c>
      <c r="H22">
        <v>51922.39</v>
      </c>
      <c r="I22">
        <v>0.2</v>
      </c>
      <c r="J22">
        <v>167070.39999999999</v>
      </c>
      <c r="K22">
        <v>207689.56</v>
      </c>
      <c r="L22">
        <v>40619.160000000003</v>
      </c>
      <c r="M22" t="s">
        <v>46</v>
      </c>
    </row>
    <row r="23" spans="1:13" x14ac:dyDescent="0.3">
      <c r="A23" t="s">
        <v>76</v>
      </c>
      <c r="B23" s="1">
        <v>46000</v>
      </c>
      <c r="C23" t="s">
        <v>77</v>
      </c>
      <c r="D23" t="s">
        <v>15</v>
      </c>
      <c r="E23" t="s">
        <v>16</v>
      </c>
      <c r="F23" t="s">
        <v>22</v>
      </c>
      <c r="G23">
        <v>1</v>
      </c>
      <c r="H23">
        <v>20847.22</v>
      </c>
      <c r="I23">
        <v>0.1</v>
      </c>
      <c r="J23">
        <v>12489.72</v>
      </c>
      <c r="K23">
        <v>18762.5</v>
      </c>
      <c r="L23">
        <v>6272.78</v>
      </c>
      <c r="M23" t="s">
        <v>46</v>
      </c>
    </row>
    <row r="24" spans="1:13" x14ac:dyDescent="0.3">
      <c r="A24" t="s">
        <v>78</v>
      </c>
      <c r="B24" s="1">
        <v>45866</v>
      </c>
      <c r="C24" t="s">
        <v>79</v>
      </c>
      <c r="D24" t="s">
        <v>58</v>
      </c>
      <c r="E24" t="s">
        <v>40</v>
      </c>
      <c r="F24" t="s">
        <v>17</v>
      </c>
      <c r="G24">
        <v>5</v>
      </c>
      <c r="H24">
        <v>4475.68</v>
      </c>
      <c r="I24">
        <v>0.15</v>
      </c>
      <c r="J24">
        <v>13741.85</v>
      </c>
      <c r="K24">
        <v>19021.64</v>
      </c>
      <c r="L24">
        <v>5279.79</v>
      </c>
      <c r="M24" t="s">
        <v>36</v>
      </c>
    </row>
    <row r="25" spans="1:13" x14ac:dyDescent="0.3">
      <c r="A25" t="s">
        <v>80</v>
      </c>
      <c r="B25" s="1">
        <v>45685</v>
      </c>
      <c r="C25" t="s">
        <v>14</v>
      </c>
      <c r="D25" t="s">
        <v>74</v>
      </c>
      <c r="E25" t="s">
        <v>35</v>
      </c>
      <c r="F25" t="s">
        <v>17</v>
      </c>
      <c r="G25">
        <v>3</v>
      </c>
      <c r="H25">
        <v>6972.99</v>
      </c>
      <c r="I25">
        <v>0.15</v>
      </c>
      <c r="J25">
        <v>12729.12</v>
      </c>
      <c r="K25">
        <v>17781.12</v>
      </c>
      <c r="L25">
        <v>5052</v>
      </c>
      <c r="M25" t="s">
        <v>36</v>
      </c>
    </row>
    <row r="26" spans="1:13" x14ac:dyDescent="0.3">
      <c r="A26" t="s">
        <v>81</v>
      </c>
      <c r="B26" s="1">
        <v>45887</v>
      </c>
      <c r="C26" t="s">
        <v>82</v>
      </c>
      <c r="D26" t="s">
        <v>74</v>
      </c>
      <c r="E26" t="s">
        <v>35</v>
      </c>
      <c r="F26" t="s">
        <v>27</v>
      </c>
      <c r="G26">
        <v>3</v>
      </c>
      <c r="H26">
        <v>6097.27</v>
      </c>
      <c r="I26">
        <v>0</v>
      </c>
      <c r="J26">
        <v>11937.21</v>
      </c>
      <c r="K26">
        <v>18291.810000000001</v>
      </c>
      <c r="L26">
        <v>6354.6</v>
      </c>
      <c r="M26" t="s">
        <v>46</v>
      </c>
    </row>
    <row r="27" spans="1:13" x14ac:dyDescent="0.3">
      <c r="A27" t="s">
        <v>83</v>
      </c>
      <c r="B27" s="1">
        <v>45939</v>
      </c>
      <c r="C27" t="s">
        <v>84</v>
      </c>
      <c r="D27" t="s">
        <v>31</v>
      </c>
      <c r="E27" t="s">
        <v>26</v>
      </c>
      <c r="F27" t="s">
        <v>17</v>
      </c>
      <c r="G27">
        <v>4</v>
      </c>
      <c r="H27">
        <v>823.57</v>
      </c>
      <c r="I27">
        <v>0.05</v>
      </c>
      <c r="J27">
        <v>2767.04</v>
      </c>
      <c r="K27">
        <v>3129.57</v>
      </c>
      <c r="L27">
        <v>362.53</v>
      </c>
      <c r="M27" t="s">
        <v>36</v>
      </c>
    </row>
    <row r="28" spans="1:13" x14ac:dyDescent="0.3">
      <c r="A28" t="s">
        <v>85</v>
      </c>
      <c r="B28" s="1">
        <v>45863</v>
      </c>
      <c r="C28" t="s">
        <v>86</v>
      </c>
      <c r="D28" t="s">
        <v>15</v>
      </c>
      <c r="E28" t="s">
        <v>16</v>
      </c>
      <c r="F28" t="s">
        <v>22</v>
      </c>
      <c r="G28">
        <v>2</v>
      </c>
      <c r="H28">
        <v>21917.98</v>
      </c>
      <c r="I28">
        <v>0.05</v>
      </c>
      <c r="J28">
        <v>28670.560000000001</v>
      </c>
      <c r="K28">
        <v>41644.160000000003</v>
      </c>
      <c r="L28">
        <v>12973.6</v>
      </c>
      <c r="M28" t="s">
        <v>18</v>
      </c>
    </row>
    <row r="29" spans="1:13" x14ac:dyDescent="0.3">
      <c r="A29" t="s">
        <v>87</v>
      </c>
      <c r="B29" s="1">
        <v>45804</v>
      </c>
      <c r="C29" t="s">
        <v>88</v>
      </c>
      <c r="D29" t="s">
        <v>21</v>
      </c>
      <c r="E29" t="s">
        <v>16</v>
      </c>
      <c r="F29" t="s">
        <v>27</v>
      </c>
      <c r="G29">
        <v>4</v>
      </c>
      <c r="H29">
        <v>58136.42</v>
      </c>
      <c r="I29">
        <v>0.1</v>
      </c>
      <c r="J29">
        <v>171958.48</v>
      </c>
      <c r="K29">
        <v>209291.11</v>
      </c>
      <c r="L29">
        <v>37332.629999999997</v>
      </c>
      <c r="M29" t="s">
        <v>46</v>
      </c>
    </row>
    <row r="30" spans="1:13" x14ac:dyDescent="0.3">
      <c r="A30" t="s">
        <v>89</v>
      </c>
      <c r="B30" s="1">
        <v>45935</v>
      </c>
      <c r="C30" t="s">
        <v>86</v>
      </c>
      <c r="D30" t="s">
        <v>25</v>
      </c>
      <c r="E30" t="s">
        <v>26</v>
      </c>
      <c r="F30" t="s">
        <v>51</v>
      </c>
      <c r="G30">
        <v>3</v>
      </c>
      <c r="H30">
        <v>1828.5</v>
      </c>
      <c r="I30">
        <v>0.05</v>
      </c>
      <c r="J30">
        <v>4277.76</v>
      </c>
      <c r="K30">
        <v>5211.22</v>
      </c>
      <c r="L30">
        <v>933.46</v>
      </c>
      <c r="M30" t="s">
        <v>36</v>
      </c>
    </row>
    <row r="31" spans="1:13" x14ac:dyDescent="0.3">
      <c r="A31" t="s">
        <v>90</v>
      </c>
      <c r="B31" s="1">
        <v>45738</v>
      </c>
      <c r="C31" t="s">
        <v>86</v>
      </c>
      <c r="D31" t="s">
        <v>21</v>
      </c>
      <c r="E31" t="s">
        <v>16</v>
      </c>
      <c r="F31" t="s">
        <v>17</v>
      </c>
      <c r="G31">
        <v>5</v>
      </c>
      <c r="H31">
        <v>58879.92</v>
      </c>
      <c r="I31">
        <v>0.15</v>
      </c>
      <c r="J31">
        <v>185820.95</v>
      </c>
      <c r="K31">
        <v>250239.66</v>
      </c>
      <c r="L31">
        <v>64418.71</v>
      </c>
      <c r="M31" t="s">
        <v>46</v>
      </c>
    </row>
    <row r="32" spans="1:13" x14ac:dyDescent="0.3">
      <c r="A32" t="s">
        <v>91</v>
      </c>
      <c r="B32" s="1">
        <v>45719</v>
      </c>
      <c r="C32" t="s">
        <v>92</v>
      </c>
      <c r="D32" t="s">
        <v>15</v>
      </c>
      <c r="E32" t="s">
        <v>16</v>
      </c>
      <c r="F32" t="s">
        <v>22</v>
      </c>
      <c r="G32">
        <v>5</v>
      </c>
      <c r="H32">
        <v>20834.900000000001</v>
      </c>
      <c r="I32">
        <v>0</v>
      </c>
      <c r="J32">
        <v>79068.350000000006</v>
      </c>
      <c r="K32">
        <v>104174.5</v>
      </c>
      <c r="L32">
        <v>25106.15</v>
      </c>
      <c r="M32" t="s">
        <v>36</v>
      </c>
    </row>
    <row r="33" spans="1:13" x14ac:dyDescent="0.3">
      <c r="A33" t="s">
        <v>93</v>
      </c>
      <c r="B33" s="1">
        <v>45819</v>
      </c>
      <c r="C33" t="s">
        <v>94</v>
      </c>
      <c r="D33" t="s">
        <v>58</v>
      </c>
      <c r="E33" t="s">
        <v>40</v>
      </c>
      <c r="F33" t="s">
        <v>22</v>
      </c>
      <c r="G33">
        <v>1</v>
      </c>
      <c r="H33">
        <v>4558.7</v>
      </c>
      <c r="I33">
        <v>0.15</v>
      </c>
      <c r="J33">
        <v>3214.54</v>
      </c>
      <c r="K33">
        <v>3874.89</v>
      </c>
      <c r="L33">
        <v>660.35</v>
      </c>
      <c r="M33" t="s">
        <v>28</v>
      </c>
    </row>
    <row r="34" spans="1:13" x14ac:dyDescent="0.3">
      <c r="A34" t="s">
        <v>95</v>
      </c>
      <c r="B34" s="1">
        <v>45892</v>
      </c>
      <c r="C34" t="s">
        <v>96</v>
      </c>
      <c r="D34" t="s">
        <v>25</v>
      </c>
      <c r="E34" t="s">
        <v>26</v>
      </c>
      <c r="F34" t="s">
        <v>17</v>
      </c>
      <c r="G34">
        <v>3</v>
      </c>
      <c r="H34">
        <v>1852.38</v>
      </c>
      <c r="I34">
        <v>0.15</v>
      </c>
      <c r="J34">
        <v>3146.7</v>
      </c>
      <c r="K34">
        <v>4723.57</v>
      </c>
      <c r="L34">
        <v>1576.87</v>
      </c>
      <c r="M34" t="s">
        <v>36</v>
      </c>
    </row>
    <row r="35" spans="1:13" x14ac:dyDescent="0.3">
      <c r="A35" t="s">
        <v>97</v>
      </c>
      <c r="B35" s="1">
        <v>45767</v>
      </c>
      <c r="C35" t="s">
        <v>64</v>
      </c>
      <c r="D35" t="s">
        <v>54</v>
      </c>
      <c r="E35" t="s">
        <v>55</v>
      </c>
      <c r="F35" t="s">
        <v>51</v>
      </c>
      <c r="G35">
        <v>5</v>
      </c>
      <c r="H35">
        <v>1646.37</v>
      </c>
      <c r="I35">
        <v>0.2</v>
      </c>
      <c r="J35">
        <v>7191.2</v>
      </c>
      <c r="K35">
        <v>6585.48</v>
      </c>
      <c r="L35">
        <v>-605.72</v>
      </c>
      <c r="M35" t="s">
        <v>46</v>
      </c>
    </row>
    <row r="36" spans="1:13" x14ac:dyDescent="0.3">
      <c r="A36" t="s">
        <v>98</v>
      </c>
      <c r="B36" s="1">
        <v>45936</v>
      </c>
      <c r="C36" t="s">
        <v>38</v>
      </c>
      <c r="D36" t="s">
        <v>34</v>
      </c>
      <c r="E36" t="s">
        <v>35</v>
      </c>
      <c r="F36" t="s">
        <v>51</v>
      </c>
      <c r="G36">
        <v>1</v>
      </c>
      <c r="H36">
        <v>7918.17</v>
      </c>
      <c r="I36">
        <v>0.05</v>
      </c>
      <c r="J36">
        <v>5460.25</v>
      </c>
      <c r="K36">
        <v>7522.26</v>
      </c>
      <c r="L36">
        <v>2062.0100000000002</v>
      </c>
      <c r="M36" t="s">
        <v>36</v>
      </c>
    </row>
    <row r="37" spans="1:13" x14ac:dyDescent="0.3">
      <c r="A37" t="s">
        <v>99</v>
      </c>
      <c r="B37" s="1">
        <v>45717</v>
      </c>
      <c r="C37" t="s">
        <v>100</v>
      </c>
      <c r="D37" t="s">
        <v>39</v>
      </c>
      <c r="E37" t="s">
        <v>40</v>
      </c>
      <c r="F37" t="s">
        <v>22</v>
      </c>
      <c r="G37">
        <v>3</v>
      </c>
      <c r="H37">
        <v>2965.95</v>
      </c>
      <c r="I37">
        <v>0</v>
      </c>
      <c r="J37">
        <v>7533.42</v>
      </c>
      <c r="K37">
        <v>8897.85</v>
      </c>
      <c r="L37">
        <v>1364.43</v>
      </c>
      <c r="M37" t="s">
        <v>28</v>
      </c>
    </row>
    <row r="38" spans="1:13" x14ac:dyDescent="0.3">
      <c r="A38" t="s">
        <v>101</v>
      </c>
      <c r="B38" s="1">
        <v>45982</v>
      </c>
      <c r="C38" t="s">
        <v>94</v>
      </c>
      <c r="D38" t="s">
        <v>31</v>
      </c>
      <c r="E38" t="s">
        <v>26</v>
      </c>
      <c r="F38" t="s">
        <v>27</v>
      </c>
      <c r="G38">
        <v>5</v>
      </c>
      <c r="H38">
        <v>846.65</v>
      </c>
      <c r="I38">
        <v>0.05</v>
      </c>
      <c r="J38">
        <v>3282.3</v>
      </c>
      <c r="K38">
        <v>4021.59</v>
      </c>
      <c r="L38">
        <v>739.29</v>
      </c>
      <c r="M38" t="s">
        <v>28</v>
      </c>
    </row>
    <row r="39" spans="1:13" x14ac:dyDescent="0.3">
      <c r="A39" t="s">
        <v>102</v>
      </c>
      <c r="B39" s="1">
        <v>45828</v>
      </c>
      <c r="C39" t="s">
        <v>70</v>
      </c>
      <c r="D39" t="s">
        <v>21</v>
      </c>
      <c r="E39" t="s">
        <v>16</v>
      </c>
      <c r="F39" t="s">
        <v>22</v>
      </c>
      <c r="G39">
        <v>1</v>
      </c>
      <c r="H39">
        <v>49984.95</v>
      </c>
      <c r="I39">
        <v>0.15</v>
      </c>
      <c r="J39">
        <v>41653.54</v>
      </c>
      <c r="K39">
        <v>42487.21</v>
      </c>
      <c r="L39">
        <v>833.67</v>
      </c>
      <c r="M39" t="s">
        <v>28</v>
      </c>
    </row>
    <row r="40" spans="1:13" x14ac:dyDescent="0.3">
      <c r="A40" t="s">
        <v>103</v>
      </c>
      <c r="B40" s="1">
        <v>45715</v>
      </c>
      <c r="C40" t="s">
        <v>104</v>
      </c>
      <c r="D40" t="s">
        <v>45</v>
      </c>
      <c r="E40" t="s">
        <v>16</v>
      </c>
      <c r="F40" t="s">
        <v>22</v>
      </c>
      <c r="G40">
        <v>4</v>
      </c>
      <c r="H40">
        <v>2530.4499999999998</v>
      </c>
      <c r="I40">
        <v>0.2</v>
      </c>
      <c r="J40">
        <v>7264.16</v>
      </c>
      <c r="K40">
        <v>8097.44</v>
      </c>
      <c r="L40">
        <v>833.28</v>
      </c>
      <c r="M40" t="s">
        <v>36</v>
      </c>
    </row>
    <row r="41" spans="1:13" x14ac:dyDescent="0.3">
      <c r="A41" t="s">
        <v>105</v>
      </c>
      <c r="B41" s="1">
        <v>45815</v>
      </c>
      <c r="C41" t="s">
        <v>106</v>
      </c>
      <c r="D41" t="s">
        <v>34</v>
      </c>
      <c r="E41" t="s">
        <v>35</v>
      </c>
      <c r="F41" t="s">
        <v>17</v>
      </c>
      <c r="G41">
        <v>5</v>
      </c>
      <c r="H41">
        <v>7866.66</v>
      </c>
      <c r="I41">
        <v>0.2</v>
      </c>
      <c r="J41">
        <v>24948.5</v>
      </c>
      <c r="K41">
        <v>31466.639999999999</v>
      </c>
      <c r="L41">
        <v>6518.14</v>
      </c>
      <c r="M41" t="s">
        <v>28</v>
      </c>
    </row>
    <row r="42" spans="1:13" x14ac:dyDescent="0.3">
      <c r="A42" t="s">
        <v>107</v>
      </c>
      <c r="B42" s="1">
        <v>45866</v>
      </c>
      <c r="C42" t="s">
        <v>108</v>
      </c>
      <c r="D42" t="s">
        <v>25</v>
      </c>
      <c r="E42" t="s">
        <v>26</v>
      </c>
      <c r="F42" t="s">
        <v>22</v>
      </c>
      <c r="G42">
        <v>2</v>
      </c>
      <c r="H42">
        <v>1821.56</v>
      </c>
      <c r="I42">
        <v>0</v>
      </c>
      <c r="J42">
        <v>2298.3200000000002</v>
      </c>
      <c r="K42">
        <v>3643.12</v>
      </c>
      <c r="L42">
        <v>1344.8</v>
      </c>
      <c r="M42" t="s">
        <v>46</v>
      </c>
    </row>
    <row r="43" spans="1:13" x14ac:dyDescent="0.3">
      <c r="A43" t="s">
        <v>109</v>
      </c>
      <c r="B43" s="1">
        <v>45828</v>
      </c>
      <c r="C43" t="s">
        <v>110</v>
      </c>
      <c r="D43" t="s">
        <v>45</v>
      </c>
      <c r="E43" t="s">
        <v>16</v>
      </c>
      <c r="F43" t="s">
        <v>22</v>
      </c>
      <c r="G43">
        <v>2</v>
      </c>
      <c r="H43">
        <v>2618.2800000000002</v>
      </c>
      <c r="I43">
        <v>0.15</v>
      </c>
      <c r="J43">
        <v>2780.98</v>
      </c>
      <c r="K43">
        <v>4451.08</v>
      </c>
      <c r="L43">
        <v>1670.1</v>
      </c>
      <c r="M43" t="s">
        <v>28</v>
      </c>
    </row>
    <row r="44" spans="1:13" x14ac:dyDescent="0.3">
      <c r="A44" t="s">
        <v>111</v>
      </c>
      <c r="B44" s="1">
        <v>45771</v>
      </c>
      <c r="C44" t="s">
        <v>112</v>
      </c>
      <c r="D44" t="s">
        <v>45</v>
      </c>
      <c r="E44" t="s">
        <v>16</v>
      </c>
      <c r="F44" t="s">
        <v>27</v>
      </c>
      <c r="G44">
        <v>1</v>
      </c>
      <c r="H44">
        <v>2679.3</v>
      </c>
      <c r="I44">
        <v>0.15</v>
      </c>
      <c r="J44">
        <v>1920.1</v>
      </c>
      <c r="K44">
        <v>2277.41</v>
      </c>
      <c r="L44">
        <v>357.31</v>
      </c>
      <c r="M44" t="s">
        <v>28</v>
      </c>
    </row>
    <row r="45" spans="1:13" x14ac:dyDescent="0.3">
      <c r="A45" t="s">
        <v>113</v>
      </c>
      <c r="B45" s="1">
        <v>45826</v>
      </c>
      <c r="C45" t="s">
        <v>42</v>
      </c>
      <c r="D45" t="s">
        <v>31</v>
      </c>
      <c r="E45" t="s">
        <v>26</v>
      </c>
      <c r="F45" t="s">
        <v>17</v>
      </c>
      <c r="G45">
        <v>2</v>
      </c>
      <c r="H45">
        <v>844.76</v>
      </c>
      <c r="I45">
        <v>0.05</v>
      </c>
      <c r="J45">
        <v>1000.64</v>
      </c>
      <c r="K45">
        <v>1605.04</v>
      </c>
      <c r="L45">
        <v>604.4</v>
      </c>
      <c r="M45" t="s">
        <v>28</v>
      </c>
    </row>
    <row r="46" spans="1:13" x14ac:dyDescent="0.3">
      <c r="A46" t="s">
        <v>114</v>
      </c>
      <c r="B46" s="1">
        <v>45827</v>
      </c>
      <c r="C46" t="s">
        <v>115</v>
      </c>
      <c r="D46" t="s">
        <v>34</v>
      </c>
      <c r="E46" t="s">
        <v>35</v>
      </c>
      <c r="F46" t="s">
        <v>17</v>
      </c>
      <c r="G46">
        <v>5</v>
      </c>
      <c r="H46">
        <v>9084.2199999999993</v>
      </c>
      <c r="I46">
        <v>0.15</v>
      </c>
      <c r="J46">
        <v>30594.9</v>
      </c>
      <c r="K46">
        <v>38607.93</v>
      </c>
      <c r="L46">
        <v>8013.03</v>
      </c>
      <c r="M46" t="s">
        <v>28</v>
      </c>
    </row>
    <row r="47" spans="1:13" x14ac:dyDescent="0.3">
      <c r="A47" t="s">
        <v>116</v>
      </c>
      <c r="B47" s="1">
        <v>45834</v>
      </c>
      <c r="C47" t="s">
        <v>117</v>
      </c>
      <c r="D47" t="s">
        <v>45</v>
      </c>
      <c r="E47" t="s">
        <v>16</v>
      </c>
      <c r="F47" t="s">
        <v>51</v>
      </c>
      <c r="G47">
        <v>5</v>
      </c>
      <c r="H47">
        <v>2548.29</v>
      </c>
      <c r="I47">
        <v>0.1</v>
      </c>
      <c r="J47">
        <v>6994.55</v>
      </c>
      <c r="K47">
        <v>11467.31</v>
      </c>
      <c r="L47">
        <v>4472.76</v>
      </c>
      <c r="M47" t="s">
        <v>18</v>
      </c>
    </row>
    <row r="48" spans="1:13" x14ac:dyDescent="0.3">
      <c r="A48" t="s">
        <v>118</v>
      </c>
      <c r="B48" s="1">
        <v>45788</v>
      </c>
      <c r="C48" t="s">
        <v>119</v>
      </c>
      <c r="D48" t="s">
        <v>58</v>
      </c>
      <c r="E48" t="s">
        <v>40</v>
      </c>
      <c r="F48" t="s">
        <v>27</v>
      </c>
      <c r="G48">
        <v>5</v>
      </c>
      <c r="H48">
        <v>4568.93</v>
      </c>
      <c r="I48">
        <v>0</v>
      </c>
      <c r="J48">
        <v>14541.7</v>
      </c>
      <c r="K48">
        <v>22844.65</v>
      </c>
      <c r="L48">
        <v>8302.9500000000007</v>
      </c>
      <c r="M48" t="s">
        <v>36</v>
      </c>
    </row>
    <row r="49" spans="1:13" x14ac:dyDescent="0.3">
      <c r="A49" t="s">
        <v>120</v>
      </c>
      <c r="B49" s="1">
        <v>45998</v>
      </c>
      <c r="C49" t="s">
        <v>121</v>
      </c>
      <c r="D49" t="s">
        <v>39</v>
      </c>
      <c r="E49" t="s">
        <v>40</v>
      </c>
      <c r="F49" t="s">
        <v>51</v>
      </c>
      <c r="G49">
        <v>5</v>
      </c>
      <c r="H49">
        <v>2924.78</v>
      </c>
      <c r="I49">
        <v>0.05</v>
      </c>
      <c r="J49">
        <v>10256.9</v>
      </c>
      <c r="K49">
        <v>13892.7</v>
      </c>
      <c r="L49">
        <v>3635.8</v>
      </c>
      <c r="M49" t="s">
        <v>36</v>
      </c>
    </row>
    <row r="50" spans="1:13" x14ac:dyDescent="0.3">
      <c r="A50" t="s">
        <v>122</v>
      </c>
      <c r="B50" s="1">
        <v>46014</v>
      </c>
      <c r="C50" t="s">
        <v>123</v>
      </c>
      <c r="D50" t="s">
        <v>31</v>
      </c>
      <c r="E50" t="s">
        <v>26</v>
      </c>
      <c r="F50" t="s">
        <v>22</v>
      </c>
      <c r="G50">
        <v>5</v>
      </c>
      <c r="H50">
        <v>868.71</v>
      </c>
      <c r="I50">
        <v>0.1</v>
      </c>
      <c r="J50">
        <v>3225.25</v>
      </c>
      <c r="K50">
        <v>3909.2</v>
      </c>
      <c r="L50">
        <v>683.95</v>
      </c>
      <c r="M50" t="s">
        <v>46</v>
      </c>
    </row>
    <row r="51" spans="1:13" x14ac:dyDescent="0.3">
      <c r="A51" t="s">
        <v>124</v>
      </c>
      <c r="B51" s="1">
        <v>45938</v>
      </c>
      <c r="C51" t="s">
        <v>125</v>
      </c>
      <c r="D51" t="s">
        <v>74</v>
      </c>
      <c r="E51" t="s">
        <v>35</v>
      </c>
      <c r="F51" t="s">
        <v>51</v>
      </c>
      <c r="G51">
        <v>4</v>
      </c>
      <c r="H51">
        <v>6241.23</v>
      </c>
      <c r="I51">
        <v>0.05</v>
      </c>
      <c r="J51">
        <v>18300.84</v>
      </c>
      <c r="K51">
        <v>23716.67</v>
      </c>
      <c r="L51">
        <v>5415.83</v>
      </c>
      <c r="M51" t="s">
        <v>28</v>
      </c>
    </row>
    <row r="52" spans="1:13" x14ac:dyDescent="0.3">
      <c r="A52" t="s">
        <v>126</v>
      </c>
      <c r="B52" s="1">
        <v>45884</v>
      </c>
      <c r="C52" t="s">
        <v>127</v>
      </c>
      <c r="D52" t="s">
        <v>25</v>
      </c>
      <c r="E52" t="s">
        <v>26</v>
      </c>
      <c r="F52" t="s">
        <v>22</v>
      </c>
      <c r="G52">
        <v>4</v>
      </c>
      <c r="H52">
        <v>1736.01</v>
      </c>
      <c r="I52">
        <v>0.2</v>
      </c>
      <c r="J52">
        <v>5052</v>
      </c>
      <c r="K52">
        <v>5555.23</v>
      </c>
      <c r="L52">
        <v>503.23</v>
      </c>
      <c r="M52" t="s">
        <v>18</v>
      </c>
    </row>
    <row r="53" spans="1:13" x14ac:dyDescent="0.3">
      <c r="A53" t="s">
        <v>128</v>
      </c>
      <c r="B53" s="1">
        <v>45829</v>
      </c>
      <c r="C53" t="s">
        <v>129</v>
      </c>
      <c r="D53" t="s">
        <v>45</v>
      </c>
      <c r="E53" t="s">
        <v>16</v>
      </c>
      <c r="F53" t="s">
        <v>22</v>
      </c>
      <c r="G53">
        <v>1</v>
      </c>
      <c r="H53">
        <v>2566.4699999999998</v>
      </c>
      <c r="I53">
        <v>0.1</v>
      </c>
      <c r="J53">
        <v>1697.16</v>
      </c>
      <c r="K53">
        <v>2309.8200000000002</v>
      </c>
      <c r="L53">
        <v>612.66</v>
      </c>
      <c r="M53" t="s">
        <v>28</v>
      </c>
    </row>
    <row r="54" spans="1:13" x14ac:dyDescent="0.3">
      <c r="A54" t="s">
        <v>130</v>
      </c>
      <c r="B54" s="1">
        <v>45901</v>
      </c>
      <c r="C54" t="s">
        <v>131</v>
      </c>
      <c r="D54" t="s">
        <v>25</v>
      </c>
      <c r="E54" t="s">
        <v>26</v>
      </c>
      <c r="F54" t="s">
        <v>17</v>
      </c>
      <c r="G54">
        <v>2</v>
      </c>
      <c r="H54">
        <v>1708.14</v>
      </c>
      <c r="I54">
        <v>0.05</v>
      </c>
      <c r="J54">
        <v>2001.98</v>
      </c>
      <c r="K54">
        <v>3245.47</v>
      </c>
      <c r="L54">
        <v>1243.49</v>
      </c>
      <c r="M54" t="s">
        <v>18</v>
      </c>
    </row>
    <row r="55" spans="1:13" x14ac:dyDescent="0.3">
      <c r="A55" t="s">
        <v>132</v>
      </c>
      <c r="B55" s="1">
        <v>45862</v>
      </c>
      <c r="C55" t="s">
        <v>133</v>
      </c>
      <c r="D55" t="s">
        <v>74</v>
      </c>
      <c r="E55" t="s">
        <v>35</v>
      </c>
      <c r="F55" t="s">
        <v>22</v>
      </c>
      <c r="G55">
        <v>5</v>
      </c>
      <c r="H55">
        <v>6349.17</v>
      </c>
      <c r="I55">
        <v>0.05</v>
      </c>
      <c r="J55">
        <v>23711.55</v>
      </c>
      <c r="K55">
        <v>30158.560000000001</v>
      </c>
      <c r="L55">
        <v>6447.01</v>
      </c>
      <c r="M55" t="s">
        <v>36</v>
      </c>
    </row>
    <row r="56" spans="1:13" x14ac:dyDescent="0.3">
      <c r="A56" t="s">
        <v>134</v>
      </c>
      <c r="B56" s="1">
        <v>45923</v>
      </c>
      <c r="C56" t="s">
        <v>135</v>
      </c>
      <c r="D56" t="s">
        <v>15</v>
      </c>
      <c r="E56" t="s">
        <v>16</v>
      </c>
      <c r="F56" t="s">
        <v>17</v>
      </c>
      <c r="G56">
        <v>4</v>
      </c>
      <c r="H56">
        <v>24015.05</v>
      </c>
      <c r="I56">
        <v>0.05</v>
      </c>
      <c r="J56">
        <v>52269.52</v>
      </c>
      <c r="K56">
        <v>91257.19</v>
      </c>
      <c r="L56">
        <v>38987.67</v>
      </c>
      <c r="M56" t="s">
        <v>46</v>
      </c>
    </row>
    <row r="57" spans="1:13" x14ac:dyDescent="0.3">
      <c r="A57" t="s">
        <v>136</v>
      </c>
      <c r="B57" s="1">
        <v>45944</v>
      </c>
      <c r="C57" t="s">
        <v>137</v>
      </c>
      <c r="D57" t="s">
        <v>15</v>
      </c>
      <c r="E57" t="s">
        <v>16</v>
      </c>
      <c r="F57" t="s">
        <v>51</v>
      </c>
      <c r="G57">
        <v>4</v>
      </c>
      <c r="H57">
        <v>22737.34</v>
      </c>
      <c r="I57">
        <v>0.05</v>
      </c>
      <c r="J57">
        <v>66031.16</v>
      </c>
      <c r="K57">
        <v>86401.89</v>
      </c>
      <c r="L57">
        <v>20370.73</v>
      </c>
      <c r="M57" t="s">
        <v>18</v>
      </c>
    </row>
    <row r="58" spans="1:13" x14ac:dyDescent="0.3">
      <c r="A58" t="s">
        <v>138</v>
      </c>
      <c r="B58" s="1">
        <v>45739</v>
      </c>
      <c r="C58" t="s">
        <v>139</v>
      </c>
      <c r="D58" t="s">
        <v>58</v>
      </c>
      <c r="E58" t="s">
        <v>40</v>
      </c>
      <c r="F58" t="s">
        <v>27</v>
      </c>
      <c r="G58">
        <v>5</v>
      </c>
      <c r="H58">
        <v>4543.08</v>
      </c>
      <c r="I58">
        <v>0.15</v>
      </c>
      <c r="J58">
        <v>17046.95</v>
      </c>
      <c r="K58">
        <v>19308.09</v>
      </c>
      <c r="L58">
        <v>2261.14</v>
      </c>
      <c r="M58" t="s">
        <v>18</v>
      </c>
    </row>
    <row r="59" spans="1:13" x14ac:dyDescent="0.3">
      <c r="A59" t="s">
        <v>140</v>
      </c>
      <c r="B59" s="1">
        <v>45978</v>
      </c>
      <c r="C59" t="s">
        <v>68</v>
      </c>
      <c r="D59" t="s">
        <v>31</v>
      </c>
      <c r="E59" t="s">
        <v>26</v>
      </c>
      <c r="F59" t="s">
        <v>51</v>
      </c>
      <c r="G59">
        <v>2</v>
      </c>
      <c r="H59">
        <v>903.83</v>
      </c>
      <c r="I59">
        <v>0.1</v>
      </c>
      <c r="J59">
        <v>1334.62</v>
      </c>
      <c r="K59">
        <v>1626.89</v>
      </c>
      <c r="L59">
        <v>292.27</v>
      </c>
      <c r="M59" t="s">
        <v>18</v>
      </c>
    </row>
    <row r="60" spans="1:13" x14ac:dyDescent="0.3">
      <c r="A60" t="s">
        <v>141</v>
      </c>
      <c r="B60" s="1">
        <v>45934</v>
      </c>
      <c r="C60" t="s">
        <v>142</v>
      </c>
      <c r="D60" t="s">
        <v>15</v>
      </c>
      <c r="E60" t="s">
        <v>16</v>
      </c>
      <c r="F60" t="s">
        <v>22</v>
      </c>
      <c r="G60">
        <v>3</v>
      </c>
      <c r="H60">
        <v>21206.720000000001</v>
      </c>
      <c r="I60">
        <v>0.05</v>
      </c>
      <c r="J60">
        <v>40783.29</v>
      </c>
      <c r="K60">
        <v>60439.15</v>
      </c>
      <c r="L60">
        <v>19655.86</v>
      </c>
      <c r="M60" t="s">
        <v>46</v>
      </c>
    </row>
    <row r="61" spans="1:13" x14ac:dyDescent="0.3">
      <c r="A61" t="s">
        <v>143</v>
      </c>
      <c r="B61" s="1">
        <v>45866</v>
      </c>
      <c r="C61" t="s">
        <v>121</v>
      </c>
      <c r="D61" t="s">
        <v>25</v>
      </c>
      <c r="E61" t="s">
        <v>26</v>
      </c>
      <c r="F61" t="s">
        <v>27</v>
      </c>
      <c r="G61">
        <v>4</v>
      </c>
      <c r="H61">
        <v>1643.12</v>
      </c>
      <c r="I61">
        <v>0.05</v>
      </c>
      <c r="J61">
        <v>5231.5600000000004</v>
      </c>
      <c r="K61">
        <v>6243.86</v>
      </c>
      <c r="L61">
        <v>1012.3</v>
      </c>
      <c r="M61" t="s">
        <v>18</v>
      </c>
    </row>
    <row r="62" spans="1:13" x14ac:dyDescent="0.3">
      <c r="A62" t="s">
        <v>144</v>
      </c>
      <c r="B62" s="1">
        <v>46014</v>
      </c>
      <c r="C62" t="s">
        <v>145</v>
      </c>
      <c r="D62" t="s">
        <v>21</v>
      </c>
      <c r="E62" t="s">
        <v>16</v>
      </c>
      <c r="F62" t="s">
        <v>27</v>
      </c>
      <c r="G62">
        <v>2</v>
      </c>
      <c r="H62">
        <v>57967.75</v>
      </c>
      <c r="I62">
        <v>0.15</v>
      </c>
      <c r="J62">
        <v>71210.62</v>
      </c>
      <c r="K62">
        <v>98545.18</v>
      </c>
      <c r="L62">
        <v>27334.560000000001</v>
      </c>
      <c r="M62" t="s">
        <v>18</v>
      </c>
    </row>
    <row r="63" spans="1:13" x14ac:dyDescent="0.3">
      <c r="A63" t="s">
        <v>146</v>
      </c>
      <c r="B63" s="1">
        <v>45872</v>
      </c>
      <c r="C63" t="s">
        <v>53</v>
      </c>
      <c r="D63" t="s">
        <v>21</v>
      </c>
      <c r="E63" t="s">
        <v>16</v>
      </c>
      <c r="F63" t="s">
        <v>22</v>
      </c>
      <c r="G63">
        <v>3</v>
      </c>
      <c r="H63">
        <v>58887.93</v>
      </c>
      <c r="I63">
        <v>0.1</v>
      </c>
      <c r="J63">
        <v>121830.84</v>
      </c>
      <c r="K63">
        <v>158997.41</v>
      </c>
      <c r="L63">
        <v>37166.57</v>
      </c>
      <c r="M63" t="s">
        <v>18</v>
      </c>
    </row>
    <row r="64" spans="1:13" x14ac:dyDescent="0.3">
      <c r="A64" t="s">
        <v>147</v>
      </c>
      <c r="B64" s="1">
        <v>46000</v>
      </c>
      <c r="C64" t="s">
        <v>14</v>
      </c>
      <c r="D64" t="s">
        <v>25</v>
      </c>
      <c r="E64" t="s">
        <v>26</v>
      </c>
      <c r="F64" t="s">
        <v>27</v>
      </c>
      <c r="G64">
        <v>3</v>
      </c>
      <c r="H64">
        <v>1759.99</v>
      </c>
      <c r="I64">
        <v>0.15</v>
      </c>
      <c r="J64">
        <v>3625.62</v>
      </c>
      <c r="K64">
        <v>4487.97</v>
      </c>
      <c r="L64">
        <v>862.35</v>
      </c>
      <c r="M64" t="s">
        <v>46</v>
      </c>
    </row>
    <row r="65" spans="1:13" x14ac:dyDescent="0.3">
      <c r="A65" t="s">
        <v>148</v>
      </c>
      <c r="B65" s="1">
        <v>45961</v>
      </c>
      <c r="C65" t="s">
        <v>92</v>
      </c>
      <c r="D65" t="s">
        <v>54</v>
      </c>
      <c r="E65" t="s">
        <v>55</v>
      </c>
      <c r="F65" t="s">
        <v>17</v>
      </c>
      <c r="G65">
        <v>2</v>
      </c>
      <c r="H65">
        <v>1946.49</v>
      </c>
      <c r="I65">
        <v>0.2</v>
      </c>
      <c r="J65">
        <v>2460.7199999999998</v>
      </c>
      <c r="K65">
        <v>3114.38</v>
      </c>
      <c r="L65">
        <v>653.66</v>
      </c>
      <c r="M65" t="s">
        <v>36</v>
      </c>
    </row>
    <row r="66" spans="1:13" x14ac:dyDescent="0.3">
      <c r="A66" t="s">
        <v>149</v>
      </c>
      <c r="B66" s="1">
        <v>45825</v>
      </c>
      <c r="C66" t="s">
        <v>50</v>
      </c>
      <c r="D66" t="s">
        <v>74</v>
      </c>
      <c r="E66" t="s">
        <v>35</v>
      </c>
      <c r="F66" t="s">
        <v>27</v>
      </c>
      <c r="G66">
        <v>2</v>
      </c>
      <c r="H66">
        <v>6188.2</v>
      </c>
      <c r="I66">
        <v>0.15</v>
      </c>
      <c r="J66">
        <v>7740.62</v>
      </c>
      <c r="K66">
        <v>10519.94</v>
      </c>
      <c r="L66">
        <v>2779.32</v>
      </c>
      <c r="M66" t="s">
        <v>28</v>
      </c>
    </row>
    <row r="67" spans="1:13" x14ac:dyDescent="0.3">
      <c r="A67" t="s">
        <v>150</v>
      </c>
      <c r="B67" s="1">
        <v>45787</v>
      </c>
      <c r="C67" t="s">
        <v>142</v>
      </c>
      <c r="D67" t="s">
        <v>34</v>
      </c>
      <c r="E67" t="s">
        <v>35</v>
      </c>
      <c r="F67" t="s">
        <v>27</v>
      </c>
      <c r="G67">
        <v>4</v>
      </c>
      <c r="H67">
        <v>9064.27</v>
      </c>
      <c r="I67">
        <v>0.1</v>
      </c>
      <c r="J67">
        <v>25092.080000000002</v>
      </c>
      <c r="K67">
        <v>32631.37</v>
      </c>
      <c r="L67">
        <v>7539.29</v>
      </c>
      <c r="M67" t="s">
        <v>36</v>
      </c>
    </row>
    <row r="68" spans="1:13" x14ac:dyDescent="0.3">
      <c r="A68" t="s">
        <v>151</v>
      </c>
      <c r="B68" s="1">
        <v>45991</v>
      </c>
      <c r="C68" t="s">
        <v>119</v>
      </c>
      <c r="D68" t="s">
        <v>39</v>
      </c>
      <c r="E68" t="s">
        <v>40</v>
      </c>
      <c r="F68" t="s">
        <v>17</v>
      </c>
      <c r="G68">
        <v>1</v>
      </c>
      <c r="H68">
        <v>2923.92</v>
      </c>
      <c r="I68">
        <v>0.1</v>
      </c>
      <c r="J68">
        <v>1939.38</v>
      </c>
      <c r="K68">
        <v>2631.53</v>
      </c>
      <c r="L68">
        <v>692.15</v>
      </c>
      <c r="M68" t="s">
        <v>46</v>
      </c>
    </row>
    <row r="69" spans="1:13" x14ac:dyDescent="0.3">
      <c r="A69" t="s">
        <v>152</v>
      </c>
      <c r="B69" s="1">
        <v>46000</v>
      </c>
      <c r="C69" t="s">
        <v>153</v>
      </c>
      <c r="D69" t="s">
        <v>25</v>
      </c>
      <c r="E69" t="s">
        <v>26</v>
      </c>
      <c r="F69" t="s">
        <v>22</v>
      </c>
      <c r="G69">
        <v>1</v>
      </c>
      <c r="H69">
        <v>1665.44</v>
      </c>
      <c r="I69">
        <v>0.2</v>
      </c>
      <c r="J69">
        <v>1058.57</v>
      </c>
      <c r="K69">
        <v>1332.35</v>
      </c>
      <c r="L69">
        <v>273.77999999999997</v>
      </c>
      <c r="M69" t="s">
        <v>18</v>
      </c>
    </row>
    <row r="70" spans="1:13" x14ac:dyDescent="0.3">
      <c r="A70" t="s">
        <v>154</v>
      </c>
      <c r="B70" s="1">
        <v>45716</v>
      </c>
      <c r="C70" t="s">
        <v>155</v>
      </c>
      <c r="D70" t="s">
        <v>31</v>
      </c>
      <c r="E70" t="s">
        <v>26</v>
      </c>
      <c r="F70" t="s">
        <v>22</v>
      </c>
      <c r="G70">
        <v>3</v>
      </c>
      <c r="H70">
        <v>983.47</v>
      </c>
      <c r="I70">
        <v>0.05</v>
      </c>
      <c r="J70">
        <v>1893.99</v>
      </c>
      <c r="K70">
        <v>2802.89</v>
      </c>
      <c r="L70">
        <v>908.9</v>
      </c>
      <c r="M70" t="s">
        <v>28</v>
      </c>
    </row>
    <row r="71" spans="1:13" x14ac:dyDescent="0.3">
      <c r="A71" t="s">
        <v>156</v>
      </c>
      <c r="B71" s="1">
        <v>45850</v>
      </c>
      <c r="C71" t="s">
        <v>157</v>
      </c>
      <c r="D71" t="s">
        <v>15</v>
      </c>
      <c r="E71" t="s">
        <v>16</v>
      </c>
      <c r="F71" t="s">
        <v>22</v>
      </c>
      <c r="G71">
        <v>5</v>
      </c>
      <c r="H71">
        <v>22333.51</v>
      </c>
      <c r="I71">
        <v>0</v>
      </c>
      <c r="J71">
        <v>86044.4</v>
      </c>
      <c r="K71">
        <v>111667.55</v>
      </c>
      <c r="L71">
        <v>25623.15</v>
      </c>
      <c r="M71" t="s">
        <v>36</v>
      </c>
    </row>
    <row r="72" spans="1:13" x14ac:dyDescent="0.3">
      <c r="A72" t="s">
        <v>158</v>
      </c>
      <c r="B72" s="1">
        <v>46008</v>
      </c>
      <c r="C72" t="s">
        <v>137</v>
      </c>
      <c r="D72" t="s">
        <v>58</v>
      </c>
      <c r="E72" t="s">
        <v>40</v>
      </c>
      <c r="F72" t="s">
        <v>17</v>
      </c>
      <c r="G72">
        <v>2</v>
      </c>
      <c r="H72">
        <v>4321.42</v>
      </c>
      <c r="I72">
        <v>0</v>
      </c>
      <c r="J72">
        <v>6518.68</v>
      </c>
      <c r="K72">
        <v>8642.84</v>
      </c>
      <c r="L72">
        <v>2124.16</v>
      </c>
      <c r="M72" t="s">
        <v>36</v>
      </c>
    </row>
    <row r="73" spans="1:13" x14ac:dyDescent="0.3">
      <c r="A73" t="s">
        <v>159</v>
      </c>
      <c r="B73" s="1">
        <v>45989</v>
      </c>
      <c r="C73" t="s">
        <v>160</v>
      </c>
      <c r="D73" t="s">
        <v>34</v>
      </c>
      <c r="E73" t="s">
        <v>35</v>
      </c>
      <c r="F73" t="s">
        <v>17</v>
      </c>
      <c r="G73">
        <v>5</v>
      </c>
      <c r="H73">
        <v>7767.23</v>
      </c>
      <c r="I73">
        <v>0.15</v>
      </c>
      <c r="J73">
        <v>30403.65</v>
      </c>
      <c r="K73">
        <v>33010.730000000003</v>
      </c>
      <c r="L73">
        <v>2607.08</v>
      </c>
      <c r="M73" t="s">
        <v>18</v>
      </c>
    </row>
    <row r="74" spans="1:13" x14ac:dyDescent="0.3">
      <c r="A74" t="s">
        <v>161</v>
      </c>
      <c r="B74" s="1">
        <v>45893</v>
      </c>
      <c r="C74" t="s">
        <v>38</v>
      </c>
      <c r="D74" t="s">
        <v>54</v>
      </c>
      <c r="E74" t="s">
        <v>55</v>
      </c>
      <c r="F74" t="s">
        <v>22</v>
      </c>
      <c r="G74">
        <v>1</v>
      </c>
      <c r="H74">
        <v>1848.81</v>
      </c>
      <c r="I74">
        <v>0.15</v>
      </c>
      <c r="J74">
        <v>1422.35</v>
      </c>
      <c r="K74">
        <v>1571.49</v>
      </c>
      <c r="L74">
        <v>149.13999999999999</v>
      </c>
      <c r="M74" t="s">
        <v>18</v>
      </c>
    </row>
    <row r="75" spans="1:13" x14ac:dyDescent="0.3">
      <c r="A75" t="s">
        <v>162</v>
      </c>
      <c r="B75" s="1">
        <v>45905</v>
      </c>
      <c r="C75" t="s">
        <v>135</v>
      </c>
      <c r="D75" t="s">
        <v>45</v>
      </c>
      <c r="E75" t="s">
        <v>16</v>
      </c>
      <c r="F75" t="s">
        <v>27</v>
      </c>
      <c r="G75">
        <v>5</v>
      </c>
      <c r="H75">
        <v>2709.81</v>
      </c>
      <c r="I75">
        <v>0.1</v>
      </c>
      <c r="J75">
        <v>8799.75</v>
      </c>
      <c r="K75">
        <v>12194.15</v>
      </c>
      <c r="L75">
        <v>3394.4</v>
      </c>
      <c r="M75" t="s">
        <v>28</v>
      </c>
    </row>
    <row r="76" spans="1:13" x14ac:dyDescent="0.3">
      <c r="A76" t="s">
        <v>163</v>
      </c>
      <c r="B76" s="1">
        <v>45895</v>
      </c>
      <c r="C76" t="s">
        <v>92</v>
      </c>
      <c r="D76" t="s">
        <v>34</v>
      </c>
      <c r="E76" t="s">
        <v>35</v>
      </c>
      <c r="F76" t="s">
        <v>27</v>
      </c>
      <c r="G76">
        <v>2</v>
      </c>
      <c r="H76">
        <v>8416.36</v>
      </c>
      <c r="I76">
        <v>0</v>
      </c>
      <c r="J76">
        <v>10535.44</v>
      </c>
      <c r="K76">
        <v>16832.72</v>
      </c>
      <c r="L76">
        <v>6297.28</v>
      </c>
      <c r="M76" t="s">
        <v>28</v>
      </c>
    </row>
    <row r="77" spans="1:13" x14ac:dyDescent="0.3">
      <c r="A77" t="s">
        <v>164</v>
      </c>
      <c r="B77" s="1">
        <v>45790</v>
      </c>
      <c r="C77" t="s">
        <v>160</v>
      </c>
      <c r="D77" t="s">
        <v>21</v>
      </c>
      <c r="E77" t="s">
        <v>16</v>
      </c>
      <c r="F77" t="s">
        <v>51</v>
      </c>
      <c r="G77">
        <v>4</v>
      </c>
      <c r="H77">
        <v>51833.32</v>
      </c>
      <c r="I77">
        <v>0.1</v>
      </c>
      <c r="J77">
        <v>131001.2</v>
      </c>
      <c r="K77">
        <v>186599.95</v>
      </c>
      <c r="L77">
        <v>55598.75</v>
      </c>
      <c r="M77" t="s">
        <v>28</v>
      </c>
    </row>
    <row r="78" spans="1:13" x14ac:dyDescent="0.3">
      <c r="A78" t="s">
        <v>165</v>
      </c>
      <c r="B78" s="1">
        <v>45866</v>
      </c>
      <c r="C78" t="s">
        <v>77</v>
      </c>
      <c r="D78" t="s">
        <v>39</v>
      </c>
      <c r="E78" t="s">
        <v>40</v>
      </c>
      <c r="F78" t="s">
        <v>22</v>
      </c>
      <c r="G78">
        <v>1</v>
      </c>
      <c r="H78">
        <v>2934.79</v>
      </c>
      <c r="I78">
        <v>0.2</v>
      </c>
      <c r="J78">
        <v>2518.4499999999998</v>
      </c>
      <c r="K78">
        <v>2347.83</v>
      </c>
      <c r="L78">
        <v>-170.62</v>
      </c>
      <c r="M78" t="s">
        <v>18</v>
      </c>
    </row>
    <row r="79" spans="1:13" x14ac:dyDescent="0.3">
      <c r="A79" t="s">
        <v>166</v>
      </c>
      <c r="B79" s="1">
        <v>46012</v>
      </c>
      <c r="C79" t="s">
        <v>133</v>
      </c>
      <c r="D79" t="s">
        <v>54</v>
      </c>
      <c r="E79" t="s">
        <v>55</v>
      </c>
      <c r="F79" t="s">
        <v>51</v>
      </c>
      <c r="G79">
        <v>4</v>
      </c>
      <c r="H79">
        <v>1699.77</v>
      </c>
      <c r="I79">
        <v>0</v>
      </c>
      <c r="J79">
        <v>4127.4799999999996</v>
      </c>
      <c r="K79">
        <v>6799.08</v>
      </c>
      <c r="L79">
        <v>2671.6</v>
      </c>
      <c r="M79" t="s">
        <v>28</v>
      </c>
    </row>
    <row r="80" spans="1:13" x14ac:dyDescent="0.3">
      <c r="A80" t="s">
        <v>167</v>
      </c>
      <c r="B80" s="1">
        <v>45939</v>
      </c>
      <c r="C80" t="s">
        <v>121</v>
      </c>
      <c r="D80" t="s">
        <v>54</v>
      </c>
      <c r="E80" t="s">
        <v>55</v>
      </c>
      <c r="F80" t="s">
        <v>51</v>
      </c>
      <c r="G80">
        <v>5</v>
      </c>
      <c r="H80">
        <v>1978.79</v>
      </c>
      <c r="I80">
        <v>0.2</v>
      </c>
      <c r="J80">
        <v>5723.45</v>
      </c>
      <c r="K80">
        <v>7915.16</v>
      </c>
      <c r="L80">
        <v>2191.71</v>
      </c>
      <c r="M80" t="s">
        <v>18</v>
      </c>
    </row>
    <row r="81" spans="1:13" x14ac:dyDescent="0.3">
      <c r="A81" t="s">
        <v>168</v>
      </c>
      <c r="B81" s="1">
        <v>45819</v>
      </c>
      <c r="C81" t="s">
        <v>33</v>
      </c>
      <c r="D81" t="s">
        <v>31</v>
      </c>
      <c r="E81" t="s">
        <v>26</v>
      </c>
      <c r="F81" t="s">
        <v>22</v>
      </c>
      <c r="G81">
        <v>3</v>
      </c>
      <c r="H81">
        <v>939.83</v>
      </c>
      <c r="I81">
        <v>0.1</v>
      </c>
      <c r="J81">
        <v>1640.61</v>
      </c>
      <c r="K81">
        <v>2537.54</v>
      </c>
      <c r="L81">
        <v>896.93</v>
      </c>
      <c r="M81" t="s">
        <v>46</v>
      </c>
    </row>
    <row r="82" spans="1:13" x14ac:dyDescent="0.3">
      <c r="A82" t="s">
        <v>169</v>
      </c>
      <c r="B82" s="1">
        <v>45926</v>
      </c>
      <c r="C82" t="s">
        <v>137</v>
      </c>
      <c r="D82" t="s">
        <v>25</v>
      </c>
      <c r="E82" t="s">
        <v>26</v>
      </c>
      <c r="F82" t="s">
        <v>51</v>
      </c>
      <c r="G82">
        <v>4</v>
      </c>
      <c r="H82">
        <v>1971.58</v>
      </c>
      <c r="I82">
        <v>0.1</v>
      </c>
      <c r="J82">
        <v>5264.24</v>
      </c>
      <c r="K82">
        <v>7097.69</v>
      </c>
      <c r="L82">
        <v>1833.45</v>
      </c>
      <c r="M82" t="s">
        <v>36</v>
      </c>
    </row>
    <row r="83" spans="1:13" x14ac:dyDescent="0.3">
      <c r="A83" t="s">
        <v>170</v>
      </c>
      <c r="B83" s="1">
        <v>46020</v>
      </c>
      <c r="C83" t="s">
        <v>53</v>
      </c>
      <c r="D83" t="s">
        <v>25</v>
      </c>
      <c r="E83" t="s">
        <v>26</v>
      </c>
      <c r="F83" t="s">
        <v>22</v>
      </c>
      <c r="G83">
        <v>3</v>
      </c>
      <c r="H83">
        <v>1728.82</v>
      </c>
      <c r="I83">
        <v>0.05</v>
      </c>
      <c r="J83">
        <v>3457.2</v>
      </c>
      <c r="K83">
        <v>4927.1400000000003</v>
      </c>
      <c r="L83">
        <v>1469.94</v>
      </c>
      <c r="M83" t="s">
        <v>28</v>
      </c>
    </row>
    <row r="84" spans="1:13" x14ac:dyDescent="0.3">
      <c r="A84" t="s">
        <v>171</v>
      </c>
      <c r="B84" s="1">
        <v>45984</v>
      </c>
      <c r="C84" t="s">
        <v>172</v>
      </c>
      <c r="D84" t="s">
        <v>21</v>
      </c>
      <c r="E84" t="s">
        <v>16</v>
      </c>
      <c r="F84" t="s">
        <v>27</v>
      </c>
      <c r="G84">
        <v>1</v>
      </c>
      <c r="H84">
        <v>59884.99</v>
      </c>
      <c r="I84">
        <v>0.2</v>
      </c>
      <c r="J84">
        <v>34266.879999999997</v>
      </c>
      <c r="K84">
        <v>47907.99</v>
      </c>
      <c r="L84">
        <v>13641.11</v>
      </c>
      <c r="M84" t="s">
        <v>36</v>
      </c>
    </row>
    <row r="85" spans="1:13" x14ac:dyDescent="0.3">
      <c r="A85" t="s">
        <v>173</v>
      </c>
      <c r="B85" s="1">
        <v>45752</v>
      </c>
      <c r="C85" t="s">
        <v>174</v>
      </c>
      <c r="D85" t="s">
        <v>21</v>
      </c>
      <c r="E85" t="s">
        <v>16</v>
      </c>
      <c r="F85" t="s">
        <v>51</v>
      </c>
      <c r="G85">
        <v>5</v>
      </c>
      <c r="H85">
        <v>54345.16</v>
      </c>
      <c r="I85">
        <v>0.1</v>
      </c>
      <c r="J85">
        <v>183521.05</v>
      </c>
      <c r="K85">
        <v>244553.22</v>
      </c>
      <c r="L85">
        <v>61032.17</v>
      </c>
      <c r="M85" t="s">
        <v>18</v>
      </c>
    </row>
    <row r="86" spans="1:13" x14ac:dyDescent="0.3">
      <c r="A86" t="s">
        <v>175</v>
      </c>
      <c r="B86" s="1">
        <v>46009</v>
      </c>
      <c r="C86" t="s">
        <v>174</v>
      </c>
      <c r="D86" t="s">
        <v>15</v>
      </c>
      <c r="E86" t="s">
        <v>16</v>
      </c>
      <c r="F86" t="s">
        <v>22</v>
      </c>
      <c r="G86">
        <v>1</v>
      </c>
      <c r="H86">
        <v>22338.89</v>
      </c>
      <c r="I86">
        <v>0.15</v>
      </c>
      <c r="J86">
        <v>14804.61</v>
      </c>
      <c r="K86">
        <v>18988.060000000001</v>
      </c>
      <c r="L86">
        <v>4183.45</v>
      </c>
      <c r="M86" t="s">
        <v>46</v>
      </c>
    </row>
    <row r="87" spans="1:13" x14ac:dyDescent="0.3">
      <c r="A87" t="s">
        <v>176</v>
      </c>
      <c r="B87" s="1">
        <v>45871</v>
      </c>
      <c r="C87" t="s">
        <v>177</v>
      </c>
      <c r="D87" t="s">
        <v>58</v>
      </c>
      <c r="E87" t="s">
        <v>40</v>
      </c>
      <c r="F87" t="s">
        <v>22</v>
      </c>
      <c r="G87">
        <v>3</v>
      </c>
      <c r="H87">
        <v>4156.6099999999997</v>
      </c>
      <c r="I87">
        <v>0</v>
      </c>
      <c r="J87">
        <v>10779.48</v>
      </c>
      <c r="K87">
        <v>12469.83</v>
      </c>
      <c r="L87">
        <v>1690.35</v>
      </c>
      <c r="M87" t="s">
        <v>18</v>
      </c>
    </row>
    <row r="88" spans="1:13" x14ac:dyDescent="0.3">
      <c r="A88" t="s">
        <v>178</v>
      </c>
      <c r="B88" s="1">
        <v>45814</v>
      </c>
      <c r="C88" t="s">
        <v>92</v>
      </c>
      <c r="D88" t="s">
        <v>54</v>
      </c>
      <c r="E88" t="s">
        <v>55</v>
      </c>
      <c r="F88" t="s">
        <v>17</v>
      </c>
      <c r="G88">
        <v>4</v>
      </c>
      <c r="H88">
        <v>1976.41</v>
      </c>
      <c r="I88">
        <v>0.1</v>
      </c>
      <c r="J88">
        <v>5508.28</v>
      </c>
      <c r="K88">
        <v>7115.08</v>
      </c>
      <c r="L88">
        <v>1606.8</v>
      </c>
      <c r="M88" t="s">
        <v>36</v>
      </c>
    </row>
    <row r="89" spans="1:13" x14ac:dyDescent="0.3">
      <c r="A89" t="s">
        <v>179</v>
      </c>
      <c r="B89" s="1">
        <v>45746</v>
      </c>
      <c r="C89" t="s">
        <v>180</v>
      </c>
      <c r="D89" t="s">
        <v>25</v>
      </c>
      <c r="E89" t="s">
        <v>26</v>
      </c>
      <c r="F89" t="s">
        <v>17</v>
      </c>
      <c r="G89">
        <v>2</v>
      </c>
      <c r="H89">
        <v>1676.54</v>
      </c>
      <c r="I89">
        <v>0.1</v>
      </c>
      <c r="J89">
        <v>2574.38</v>
      </c>
      <c r="K89">
        <v>3017.77</v>
      </c>
      <c r="L89">
        <v>443.39</v>
      </c>
      <c r="M89" t="s">
        <v>46</v>
      </c>
    </row>
    <row r="90" spans="1:13" x14ac:dyDescent="0.3">
      <c r="A90" t="s">
        <v>181</v>
      </c>
      <c r="B90" s="1">
        <v>45674</v>
      </c>
      <c r="C90" t="s">
        <v>182</v>
      </c>
      <c r="D90" t="s">
        <v>21</v>
      </c>
      <c r="E90" t="s">
        <v>16</v>
      </c>
      <c r="F90" t="s">
        <v>51</v>
      </c>
      <c r="G90">
        <v>4</v>
      </c>
      <c r="H90">
        <v>54669.04</v>
      </c>
      <c r="I90">
        <v>0.15</v>
      </c>
      <c r="J90">
        <v>158915.4</v>
      </c>
      <c r="K90">
        <v>185874.74</v>
      </c>
      <c r="L90">
        <v>26959.34</v>
      </c>
      <c r="M90" t="s">
        <v>28</v>
      </c>
    </row>
    <row r="91" spans="1:13" x14ac:dyDescent="0.3">
      <c r="A91" t="s">
        <v>183</v>
      </c>
      <c r="B91" s="1">
        <v>45978</v>
      </c>
      <c r="C91" t="s">
        <v>184</v>
      </c>
      <c r="D91" t="s">
        <v>54</v>
      </c>
      <c r="E91" t="s">
        <v>55</v>
      </c>
      <c r="F91" t="s">
        <v>22</v>
      </c>
      <c r="G91">
        <v>1</v>
      </c>
      <c r="H91">
        <v>1903.62</v>
      </c>
      <c r="I91">
        <v>0.05</v>
      </c>
      <c r="J91">
        <v>1405.76</v>
      </c>
      <c r="K91">
        <v>1808.44</v>
      </c>
      <c r="L91">
        <v>402.68</v>
      </c>
      <c r="M91" t="s">
        <v>18</v>
      </c>
    </row>
    <row r="92" spans="1:13" x14ac:dyDescent="0.3">
      <c r="A92" t="s">
        <v>185</v>
      </c>
      <c r="B92" s="1">
        <v>45730</v>
      </c>
      <c r="C92" t="s">
        <v>104</v>
      </c>
      <c r="D92" t="s">
        <v>15</v>
      </c>
      <c r="E92" t="s">
        <v>16</v>
      </c>
      <c r="F92" t="s">
        <v>17</v>
      </c>
      <c r="G92">
        <v>5</v>
      </c>
      <c r="H92">
        <v>23797.01</v>
      </c>
      <c r="I92">
        <v>0.05</v>
      </c>
      <c r="J92">
        <v>78309.95</v>
      </c>
      <c r="K92">
        <v>113035.8</v>
      </c>
      <c r="L92">
        <v>34725.85</v>
      </c>
      <c r="M92" t="s">
        <v>46</v>
      </c>
    </row>
    <row r="93" spans="1:13" x14ac:dyDescent="0.3">
      <c r="A93" t="s">
        <v>186</v>
      </c>
      <c r="B93" s="1">
        <v>45897</v>
      </c>
      <c r="C93" t="s">
        <v>48</v>
      </c>
      <c r="D93" t="s">
        <v>31</v>
      </c>
      <c r="E93" t="s">
        <v>26</v>
      </c>
      <c r="F93" t="s">
        <v>51</v>
      </c>
      <c r="G93">
        <v>5</v>
      </c>
      <c r="H93">
        <v>889.05</v>
      </c>
      <c r="I93">
        <v>0.2</v>
      </c>
      <c r="J93">
        <v>3511.35</v>
      </c>
      <c r="K93">
        <v>3556.2</v>
      </c>
      <c r="L93">
        <v>44.85</v>
      </c>
      <c r="M93" t="s">
        <v>18</v>
      </c>
    </row>
    <row r="94" spans="1:13" x14ac:dyDescent="0.3">
      <c r="A94" t="s">
        <v>187</v>
      </c>
      <c r="B94" s="1">
        <v>45678</v>
      </c>
      <c r="C94" t="s">
        <v>188</v>
      </c>
      <c r="D94" t="s">
        <v>31</v>
      </c>
      <c r="E94" t="s">
        <v>26</v>
      </c>
      <c r="F94" t="s">
        <v>51</v>
      </c>
      <c r="G94">
        <v>5</v>
      </c>
      <c r="H94">
        <v>824.48</v>
      </c>
      <c r="I94">
        <v>0.2</v>
      </c>
      <c r="J94">
        <v>3030.5</v>
      </c>
      <c r="K94">
        <v>3297.92</v>
      </c>
      <c r="L94">
        <v>267.42</v>
      </c>
      <c r="M94" t="s">
        <v>28</v>
      </c>
    </row>
    <row r="95" spans="1:13" x14ac:dyDescent="0.3">
      <c r="A95" t="s">
        <v>189</v>
      </c>
      <c r="B95" s="1">
        <v>45952</v>
      </c>
      <c r="C95" t="s">
        <v>184</v>
      </c>
      <c r="D95" t="s">
        <v>21</v>
      </c>
      <c r="E95" t="s">
        <v>16</v>
      </c>
      <c r="F95" t="s">
        <v>17</v>
      </c>
      <c r="G95">
        <v>1</v>
      </c>
      <c r="H95">
        <v>58695.54</v>
      </c>
      <c r="I95">
        <v>0.05</v>
      </c>
      <c r="J95">
        <v>43476.28</v>
      </c>
      <c r="K95">
        <v>55760.76</v>
      </c>
      <c r="L95">
        <v>12284.48</v>
      </c>
      <c r="M95" t="s">
        <v>28</v>
      </c>
    </row>
    <row r="96" spans="1:13" x14ac:dyDescent="0.3">
      <c r="A96" t="s">
        <v>190</v>
      </c>
      <c r="B96" s="1">
        <v>45800</v>
      </c>
      <c r="C96" t="s">
        <v>191</v>
      </c>
      <c r="D96" t="s">
        <v>58</v>
      </c>
      <c r="E96" t="s">
        <v>40</v>
      </c>
      <c r="F96" t="s">
        <v>27</v>
      </c>
      <c r="G96">
        <v>1</v>
      </c>
      <c r="H96">
        <v>4636.3599999999997</v>
      </c>
      <c r="I96">
        <v>0.05</v>
      </c>
      <c r="J96">
        <v>3004.31</v>
      </c>
      <c r="K96">
        <v>4404.54</v>
      </c>
      <c r="L96">
        <v>1400.23</v>
      </c>
      <c r="M96" t="s">
        <v>18</v>
      </c>
    </row>
    <row r="97" spans="1:13" x14ac:dyDescent="0.3">
      <c r="A97" t="s">
        <v>192</v>
      </c>
      <c r="B97" s="1">
        <v>45711</v>
      </c>
      <c r="C97" t="s">
        <v>193</v>
      </c>
      <c r="D97" t="s">
        <v>15</v>
      </c>
      <c r="E97" t="s">
        <v>16</v>
      </c>
      <c r="F97" t="s">
        <v>51</v>
      </c>
      <c r="G97">
        <v>4</v>
      </c>
      <c r="H97">
        <v>21212.66</v>
      </c>
      <c r="I97">
        <v>0.1</v>
      </c>
      <c r="J97">
        <v>57383.64</v>
      </c>
      <c r="K97">
        <v>76365.58</v>
      </c>
      <c r="L97">
        <v>18981.939999999999</v>
      </c>
      <c r="M97" t="s">
        <v>18</v>
      </c>
    </row>
    <row r="98" spans="1:13" x14ac:dyDescent="0.3">
      <c r="A98" t="s">
        <v>194</v>
      </c>
      <c r="B98" s="1">
        <v>45890</v>
      </c>
      <c r="C98" t="s">
        <v>129</v>
      </c>
      <c r="D98" t="s">
        <v>54</v>
      </c>
      <c r="E98" t="s">
        <v>55</v>
      </c>
      <c r="F98" t="s">
        <v>51</v>
      </c>
      <c r="G98">
        <v>3</v>
      </c>
      <c r="H98">
        <v>1818.03</v>
      </c>
      <c r="I98">
        <v>0.15</v>
      </c>
      <c r="J98">
        <v>4068.3</v>
      </c>
      <c r="K98">
        <v>4635.9799999999996</v>
      </c>
      <c r="L98">
        <v>567.67999999999995</v>
      </c>
      <c r="M98" t="s">
        <v>28</v>
      </c>
    </row>
    <row r="99" spans="1:13" x14ac:dyDescent="0.3">
      <c r="A99" t="s">
        <v>195</v>
      </c>
      <c r="B99" s="1">
        <v>45658</v>
      </c>
      <c r="C99" t="s">
        <v>196</v>
      </c>
      <c r="D99" t="s">
        <v>34</v>
      </c>
      <c r="E99" t="s">
        <v>35</v>
      </c>
      <c r="F99" t="s">
        <v>27</v>
      </c>
      <c r="G99">
        <v>1</v>
      </c>
      <c r="H99">
        <v>9052.3799999999992</v>
      </c>
      <c r="I99">
        <v>0.15</v>
      </c>
      <c r="J99">
        <v>6512.93</v>
      </c>
      <c r="K99">
        <v>7694.52</v>
      </c>
      <c r="L99">
        <v>1181.5899999999999</v>
      </c>
      <c r="M99" t="s">
        <v>18</v>
      </c>
    </row>
    <row r="100" spans="1:13" x14ac:dyDescent="0.3">
      <c r="A100" t="s">
        <v>197</v>
      </c>
      <c r="B100" s="1">
        <v>45978</v>
      </c>
      <c r="C100" t="s">
        <v>127</v>
      </c>
      <c r="D100" t="s">
        <v>21</v>
      </c>
      <c r="E100" t="s">
        <v>16</v>
      </c>
      <c r="F100" t="s">
        <v>17</v>
      </c>
      <c r="G100">
        <v>2</v>
      </c>
      <c r="H100">
        <v>57820.87</v>
      </c>
      <c r="I100">
        <v>0.2</v>
      </c>
      <c r="J100">
        <v>70448.94</v>
      </c>
      <c r="K100">
        <v>92513.39</v>
      </c>
      <c r="L100">
        <v>22064.45</v>
      </c>
      <c r="M100" t="s">
        <v>46</v>
      </c>
    </row>
    <row r="101" spans="1:13" x14ac:dyDescent="0.3">
      <c r="A101" t="s">
        <v>198</v>
      </c>
      <c r="B101" s="1">
        <v>46015</v>
      </c>
      <c r="C101" t="s">
        <v>77</v>
      </c>
      <c r="D101" t="s">
        <v>31</v>
      </c>
      <c r="E101" t="s">
        <v>26</v>
      </c>
      <c r="F101" t="s">
        <v>17</v>
      </c>
      <c r="G101">
        <v>5</v>
      </c>
      <c r="H101">
        <v>888.86</v>
      </c>
      <c r="I101">
        <v>0.05</v>
      </c>
      <c r="J101">
        <v>3518.65</v>
      </c>
      <c r="K101">
        <v>4222.09</v>
      </c>
      <c r="L101">
        <v>703.44</v>
      </c>
      <c r="M101" t="s">
        <v>36</v>
      </c>
    </row>
    <row r="102" spans="1:13" x14ac:dyDescent="0.3">
      <c r="A102" t="s">
        <v>199</v>
      </c>
      <c r="B102" s="1">
        <v>45866</v>
      </c>
      <c r="C102" t="s">
        <v>129</v>
      </c>
      <c r="D102" t="s">
        <v>58</v>
      </c>
      <c r="E102" t="s">
        <v>40</v>
      </c>
      <c r="F102" t="s">
        <v>22</v>
      </c>
      <c r="G102">
        <v>2</v>
      </c>
      <c r="H102">
        <v>4062.31</v>
      </c>
      <c r="I102">
        <v>0.05</v>
      </c>
      <c r="J102">
        <v>5649.18</v>
      </c>
      <c r="K102">
        <v>7718.39</v>
      </c>
      <c r="L102">
        <v>2069.21</v>
      </c>
      <c r="M102" t="s">
        <v>36</v>
      </c>
    </row>
    <row r="103" spans="1:13" x14ac:dyDescent="0.3">
      <c r="A103" t="s">
        <v>200</v>
      </c>
      <c r="B103" s="1">
        <v>45918</v>
      </c>
      <c r="C103" t="s">
        <v>38</v>
      </c>
      <c r="D103" t="s">
        <v>54</v>
      </c>
      <c r="E103" t="s">
        <v>55</v>
      </c>
      <c r="F103" t="s">
        <v>51</v>
      </c>
      <c r="G103">
        <v>1</v>
      </c>
      <c r="H103">
        <v>1877.98</v>
      </c>
      <c r="I103">
        <v>0.05</v>
      </c>
      <c r="J103">
        <v>1214.27</v>
      </c>
      <c r="K103">
        <v>1784.08</v>
      </c>
      <c r="L103">
        <v>569.80999999999995</v>
      </c>
      <c r="M103" t="s">
        <v>18</v>
      </c>
    </row>
    <row r="104" spans="1:13" x14ac:dyDescent="0.3">
      <c r="A104" t="s">
        <v>201</v>
      </c>
      <c r="B104" s="1">
        <v>45755</v>
      </c>
      <c r="C104" t="s">
        <v>137</v>
      </c>
      <c r="D104" t="s">
        <v>54</v>
      </c>
      <c r="E104" t="s">
        <v>55</v>
      </c>
      <c r="F104" t="s">
        <v>22</v>
      </c>
      <c r="G104">
        <v>4</v>
      </c>
      <c r="H104">
        <v>1672.07</v>
      </c>
      <c r="I104">
        <v>0.05</v>
      </c>
      <c r="J104">
        <v>4782.2</v>
      </c>
      <c r="K104">
        <v>6353.87</v>
      </c>
      <c r="L104">
        <v>1571.67</v>
      </c>
      <c r="M104" t="s">
        <v>36</v>
      </c>
    </row>
    <row r="105" spans="1:13" x14ac:dyDescent="0.3">
      <c r="A105" t="s">
        <v>202</v>
      </c>
      <c r="B105" s="1">
        <v>45659</v>
      </c>
      <c r="C105" t="s">
        <v>203</v>
      </c>
      <c r="D105" t="s">
        <v>31</v>
      </c>
      <c r="E105" t="s">
        <v>26</v>
      </c>
      <c r="F105" t="s">
        <v>51</v>
      </c>
      <c r="G105">
        <v>4</v>
      </c>
      <c r="H105">
        <v>901.39</v>
      </c>
      <c r="I105">
        <v>0.1</v>
      </c>
      <c r="J105">
        <v>2820.84</v>
      </c>
      <c r="K105">
        <v>3245</v>
      </c>
      <c r="L105">
        <v>424.16</v>
      </c>
      <c r="M105" t="s">
        <v>18</v>
      </c>
    </row>
    <row r="106" spans="1:13" x14ac:dyDescent="0.3">
      <c r="A106" t="s">
        <v>204</v>
      </c>
      <c r="B106" s="1">
        <v>45936</v>
      </c>
      <c r="C106" t="s">
        <v>30</v>
      </c>
      <c r="D106" t="s">
        <v>45</v>
      </c>
      <c r="E106" t="s">
        <v>16</v>
      </c>
      <c r="F106" t="s">
        <v>27</v>
      </c>
      <c r="G106">
        <v>4</v>
      </c>
      <c r="H106">
        <v>2416.2199999999998</v>
      </c>
      <c r="I106">
        <v>0.2</v>
      </c>
      <c r="J106">
        <v>6710.84</v>
      </c>
      <c r="K106">
        <v>7731.9</v>
      </c>
      <c r="L106">
        <v>1021.06</v>
      </c>
      <c r="M106" t="s">
        <v>28</v>
      </c>
    </row>
    <row r="107" spans="1:13" x14ac:dyDescent="0.3">
      <c r="A107" t="s">
        <v>205</v>
      </c>
      <c r="B107" s="1">
        <v>45868</v>
      </c>
      <c r="C107" t="s">
        <v>119</v>
      </c>
      <c r="D107" t="s">
        <v>25</v>
      </c>
      <c r="E107" t="s">
        <v>26</v>
      </c>
      <c r="F107" t="s">
        <v>51</v>
      </c>
      <c r="G107">
        <v>2</v>
      </c>
      <c r="H107">
        <v>1928.16</v>
      </c>
      <c r="I107">
        <v>0.2</v>
      </c>
      <c r="J107">
        <v>2324.6799999999998</v>
      </c>
      <c r="K107">
        <v>3085.06</v>
      </c>
      <c r="L107">
        <v>760.38</v>
      </c>
      <c r="M107" t="s">
        <v>18</v>
      </c>
    </row>
    <row r="108" spans="1:13" x14ac:dyDescent="0.3">
      <c r="A108" t="s">
        <v>206</v>
      </c>
      <c r="B108" s="1">
        <v>45915</v>
      </c>
      <c r="C108" t="s">
        <v>184</v>
      </c>
      <c r="D108" t="s">
        <v>74</v>
      </c>
      <c r="E108" t="s">
        <v>35</v>
      </c>
      <c r="F108" t="s">
        <v>51</v>
      </c>
      <c r="G108">
        <v>4</v>
      </c>
      <c r="H108">
        <v>5898.13</v>
      </c>
      <c r="I108">
        <v>0.05</v>
      </c>
      <c r="J108">
        <v>17519.64</v>
      </c>
      <c r="K108">
        <v>22412.89</v>
      </c>
      <c r="L108">
        <v>4893.25</v>
      </c>
      <c r="M108" t="s">
        <v>36</v>
      </c>
    </row>
    <row r="109" spans="1:13" x14ac:dyDescent="0.3">
      <c r="A109" t="s">
        <v>207</v>
      </c>
      <c r="B109" s="1">
        <v>45731</v>
      </c>
      <c r="C109" t="s">
        <v>110</v>
      </c>
      <c r="D109" t="s">
        <v>54</v>
      </c>
      <c r="E109" t="s">
        <v>55</v>
      </c>
      <c r="F109" t="s">
        <v>22</v>
      </c>
      <c r="G109">
        <v>1</v>
      </c>
      <c r="H109">
        <v>1625.53</v>
      </c>
      <c r="I109">
        <v>0.2</v>
      </c>
      <c r="J109">
        <v>1399.7</v>
      </c>
      <c r="K109">
        <v>1300.42</v>
      </c>
      <c r="L109">
        <v>-99.28</v>
      </c>
      <c r="M109" t="s">
        <v>36</v>
      </c>
    </row>
    <row r="110" spans="1:13" x14ac:dyDescent="0.3">
      <c r="A110" t="s">
        <v>208</v>
      </c>
      <c r="B110" s="1">
        <v>45699</v>
      </c>
      <c r="C110" t="s">
        <v>121</v>
      </c>
      <c r="D110" t="s">
        <v>54</v>
      </c>
      <c r="E110" t="s">
        <v>55</v>
      </c>
      <c r="F110" t="s">
        <v>27</v>
      </c>
      <c r="G110">
        <v>3</v>
      </c>
      <c r="H110">
        <v>1763.09</v>
      </c>
      <c r="I110">
        <v>0.1</v>
      </c>
      <c r="J110">
        <v>3811.41</v>
      </c>
      <c r="K110">
        <v>4760.34</v>
      </c>
      <c r="L110">
        <v>948.93</v>
      </c>
      <c r="M110" t="s">
        <v>28</v>
      </c>
    </row>
    <row r="111" spans="1:13" x14ac:dyDescent="0.3">
      <c r="A111" t="s">
        <v>209</v>
      </c>
      <c r="B111" s="1">
        <v>46008</v>
      </c>
      <c r="C111" t="s">
        <v>203</v>
      </c>
      <c r="D111" t="s">
        <v>54</v>
      </c>
      <c r="E111" t="s">
        <v>55</v>
      </c>
      <c r="F111" t="s">
        <v>22</v>
      </c>
      <c r="G111">
        <v>5</v>
      </c>
      <c r="H111">
        <v>1704.52</v>
      </c>
      <c r="I111">
        <v>0</v>
      </c>
      <c r="J111">
        <v>6339.3</v>
      </c>
      <c r="K111">
        <v>8522.6</v>
      </c>
      <c r="L111">
        <v>2183.3000000000002</v>
      </c>
      <c r="M111" t="s">
        <v>36</v>
      </c>
    </row>
    <row r="112" spans="1:13" x14ac:dyDescent="0.3">
      <c r="A112" t="s">
        <v>210</v>
      </c>
      <c r="B112" s="1">
        <v>45672</v>
      </c>
      <c r="C112" t="s">
        <v>119</v>
      </c>
      <c r="D112" t="s">
        <v>74</v>
      </c>
      <c r="E112" t="s">
        <v>35</v>
      </c>
      <c r="F112" t="s">
        <v>51</v>
      </c>
      <c r="G112">
        <v>1</v>
      </c>
      <c r="H112">
        <v>6752.2</v>
      </c>
      <c r="I112">
        <v>0</v>
      </c>
      <c r="J112">
        <v>4295.9799999999996</v>
      </c>
      <c r="K112">
        <v>6752.2</v>
      </c>
      <c r="L112">
        <v>2456.2199999999998</v>
      </c>
      <c r="M112" t="s">
        <v>36</v>
      </c>
    </row>
    <row r="113" spans="1:13" x14ac:dyDescent="0.3">
      <c r="A113" t="s">
        <v>211</v>
      </c>
      <c r="B113" s="1">
        <v>45868</v>
      </c>
      <c r="C113" t="s">
        <v>92</v>
      </c>
      <c r="D113" t="s">
        <v>31</v>
      </c>
      <c r="E113" t="s">
        <v>26</v>
      </c>
      <c r="F113" t="s">
        <v>22</v>
      </c>
      <c r="G113">
        <v>3</v>
      </c>
      <c r="H113">
        <v>853.96</v>
      </c>
      <c r="I113">
        <v>0.1</v>
      </c>
      <c r="J113">
        <v>1775.7</v>
      </c>
      <c r="K113">
        <v>2305.69</v>
      </c>
      <c r="L113">
        <v>529.99</v>
      </c>
      <c r="M113" t="s">
        <v>46</v>
      </c>
    </row>
    <row r="114" spans="1:13" x14ac:dyDescent="0.3">
      <c r="A114" t="s">
        <v>212</v>
      </c>
      <c r="B114" s="1">
        <v>45781</v>
      </c>
      <c r="C114" t="s">
        <v>57</v>
      </c>
      <c r="D114" t="s">
        <v>45</v>
      </c>
      <c r="E114" t="s">
        <v>16</v>
      </c>
      <c r="F114" t="s">
        <v>22</v>
      </c>
      <c r="G114">
        <v>1</v>
      </c>
      <c r="H114">
        <v>2559.86</v>
      </c>
      <c r="I114">
        <v>0.2</v>
      </c>
      <c r="J114">
        <v>1919.27</v>
      </c>
      <c r="K114">
        <v>2047.89</v>
      </c>
      <c r="L114">
        <v>128.62</v>
      </c>
      <c r="M114" t="s">
        <v>46</v>
      </c>
    </row>
    <row r="115" spans="1:13" x14ac:dyDescent="0.3">
      <c r="A115" t="s">
        <v>213</v>
      </c>
      <c r="B115" s="1">
        <v>45896</v>
      </c>
      <c r="C115" t="s">
        <v>203</v>
      </c>
      <c r="D115" t="s">
        <v>54</v>
      </c>
      <c r="E115" t="s">
        <v>55</v>
      </c>
      <c r="F115" t="s">
        <v>22</v>
      </c>
      <c r="G115">
        <v>3</v>
      </c>
      <c r="H115">
        <v>1623.38</v>
      </c>
      <c r="I115">
        <v>0.15</v>
      </c>
      <c r="J115">
        <v>3314.7</v>
      </c>
      <c r="K115">
        <v>4139.62</v>
      </c>
      <c r="L115">
        <v>824.92</v>
      </c>
      <c r="M115" t="s">
        <v>36</v>
      </c>
    </row>
    <row r="116" spans="1:13" x14ac:dyDescent="0.3">
      <c r="A116" t="s">
        <v>214</v>
      </c>
      <c r="B116" s="1">
        <v>46011</v>
      </c>
      <c r="C116" t="s">
        <v>215</v>
      </c>
      <c r="D116" t="s">
        <v>54</v>
      </c>
      <c r="E116" t="s">
        <v>55</v>
      </c>
      <c r="F116" t="s">
        <v>27</v>
      </c>
      <c r="G116">
        <v>3</v>
      </c>
      <c r="H116">
        <v>1966.33</v>
      </c>
      <c r="I116">
        <v>0.2</v>
      </c>
      <c r="J116">
        <v>3373.86</v>
      </c>
      <c r="K116">
        <v>4719.1899999999996</v>
      </c>
      <c r="L116">
        <v>1345.33</v>
      </c>
      <c r="M116" t="s">
        <v>28</v>
      </c>
    </row>
    <row r="117" spans="1:13" x14ac:dyDescent="0.3">
      <c r="A117" t="s">
        <v>216</v>
      </c>
      <c r="B117" s="1">
        <v>45841</v>
      </c>
      <c r="C117" t="s">
        <v>217</v>
      </c>
      <c r="D117" t="s">
        <v>25</v>
      </c>
      <c r="E117" t="s">
        <v>26</v>
      </c>
      <c r="F117" t="s">
        <v>51</v>
      </c>
      <c r="G117">
        <v>4</v>
      </c>
      <c r="H117">
        <v>1757.29</v>
      </c>
      <c r="I117">
        <v>0.15</v>
      </c>
      <c r="J117">
        <v>4151.96</v>
      </c>
      <c r="K117">
        <v>5974.79</v>
      </c>
      <c r="L117">
        <v>1822.83</v>
      </c>
      <c r="M117" t="s">
        <v>28</v>
      </c>
    </row>
    <row r="118" spans="1:13" x14ac:dyDescent="0.3">
      <c r="A118" t="s">
        <v>218</v>
      </c>
      <c r="B118" s="1">
        <v>45683</v>
      </c>
      <c r="C118" t="s">
        <v>177</v>
      </c>
      <c r="D118" t="s">
        <v>21</v>
      </c>
      <c r="E118" t="s">
        <v>16</v>
      </c>
      <c r="F118" t="s">
        <v>27</v>
      </c>
      <c r="G118">
        <v>4</v>
      </c>
      <c r="H118">
        <v>59015.74</v>
      </c>
      <c r="I118">
        <v>0.1</v>
      </c>
      <c r="J118">
        <v>121445.4</v>
      </c>
      <c r="K118">
        <v>212456.66</v>
      </c>
      <c r="L118">
        <v>91011.26</v>
      </c>
      <c r="M118" t="s">
        <v>28</v>
      </c>
    </row>
    <row r="119" spans="1:13" x14ac:dyDescent="0.3">
      <c r="A119" t="s">
        <v>219</v>
      </c>
      <c r="B119" s="1">
        <v>45786</v>
      </c>
      <c r="C119" t="s">
        <v>14</v>
      </c>
      <c r="D119" t="s">
        <v>25</v>
      </c>
      <c r="E119" t="s">
        <v>26</v>
      </c>
      <c r="F119" t="s">
        <v>22</v>
      </c>
      <c r="G119">
        <v>5</v>
      </c>
      <c r="H119">
        <v>1688.45</v>
      </c>
      <c r="I119">
        <v>0.1</v>
      </c>
      <c r="J119">
        <v>5442.75</v>
      </c>
      <c r="K119">
        <v>7598.03</v>
      </c>
      <c r="L119">
        <v>2155.2800000000002</v>
      </c>
      <c r="M119" t="s">
        <v>36</v>
      </c>
    </row>
    <row r="120" spans="1:13" x14ac:dyDescent="0.3">
      <c r="A120" t="s">
        <v>220</v>
      </c>
      <c r="B120" s="1">
        <v>45725</v>
      </c>
      <c r="C120" t="s">
        <v>129</v>
      </c>
      <c r="D120" t="s">
        <v>21</v>
      </c>
      <c r="E120" t="s">
        <v>16</v>
      </c>
      <c r="F120" t="s">
        <v>51</v>
      </c>
      <c r="G120">
        <v>3</v>
      </c>
      <c r="H120">
        <v>53513.47</v>
      </c>
      <c r="I120">
        <v>0.15</v>
      </c>
      <c r="J120">
        <v>92126.28</v>
      </c>
      <c r="K120">
        <v>136459.35</v>
      </c>
      <c r="L120">
        <v>44333.07</v>
      </c>
      <c r="M120" t="s">
        <v>28</v>
      </c>
    </row>
    <row r="121" spans="1:13" x14ac:dyDescent="0.3">
      <c r="A121" t="s">
        <v>221</v>
      </c>
      <c r="B121" s="1">
        <v>45845</v>
      </c>
      <c r="C121" t="s">
        <v>222</v>
      </c>
      <c r="D121" t="s">
        <v>74</v>
      </c>
      <c r="E121" t="s">
        <v>35</v>
      </c>
      <c r="F121" t="s">
        <v>51</v>
      </c>
      <c r="G121">
        <v>2</v>
      </c>
      <c r="H121">
        <v>6551.23</v>
      </c>
      <c r="I121">
        <v>0.05</v>
      </c>
      <c r="J121">
        <v>7579.52</v>
      </c>
      <c r="K121">
        <v>12447.34</v>
      </c>
      <c r="L121">
        <v>4867.82</v>
      </c>
      <c r="M121" t="s">
        <v>46</v>
      </c>
    </row>
    <row r="122" spans="1:13" x14ac:dyDescent="0.3">
      <c r="A122" t="s">
        <v>223</v>
      </c>
      <c r="B122" s="1">
        <v>45716</v>
      </c>
      <c r="C122" t="s">
        <v>135</v>
      </c>
      <c r="D122" t="s">
        <v>31</v>
      </c>
      <c r="E122" t="s">
        <v>26</v>
      </c>
      <c r="F122" t="s">
        <v>17</v>
      </c>
      <c r="G122">
        <v>4</v>
      </c>
      <c r="H122">
        <v>870.97</v>
      </c>
      <c r="I122">
        <v>0.1</v>
      </c>
      <c r="J122">
        <v>2651.92</v>
      </c>
      <c r="K122">
        <v>3135.49</v>
      </c>
      <c r="L122">
        <v>483.57</v>
      </c>
      <c r="M122" t="s">
        <v>46</v>
      </c>
    </row>
    <row r="123" spans="1:13" x14ac:dyDescent="0.3">
      <c r="A123" t="s">
        <v>224</v>
      </c>
      <c r="B123" s="1">
        <v>45665</v>
      </c>
      <c r="C123" t="s">
        <v>94</v>
      </c>
      <c r="D123" t="s">
        <v>25</v>
      </c>
      <c r="E123" t="s">
        <v>26</v>
      </c>
      <c r="F123" t="s">
        <v>17</v>
      </c>
      <c r="G123">
        <v>4</v>
      </c>
      <c r="H123">
        <v>1904.65</v>
      </c>
      <c r="I123">
        <v>0.2</v>
      </c>
      <c r="J123">
        <v>4618.3999999999996</v>
      </c>
      <c r="K123">
        <v>6094.88</v>
      </c>
      <c r="L123">
        <v>1476.48</v>
      </c>
      <c r="M123" t="s">
        <v>18</v>
      </c>
    </row>
    <row r="124" spans="1:13" x14ac:dyDescent="0.3">
      <c r="A124" t="s">
        <v>225</v>
      </c>
      <c r="B124" s="1">
        <v>45848</v>
      </c>
      <c r="C124" t="s">
        <v>100</v>
      </c>
      <c r="D124" t="s">
        <v>34</v>
      </c>
      <c r="E124" t="s">
        <v>35</v>
      </c>
      <c r="F124" t="s">
        <v>22</v>
      </c>
      <c r="G124">
        <v>3</v>
      </c>
      <c r="H124">
        <v>8735.5300000000007</v>
      </c>
      <c r="I124">
        <v>0.2</v>
      </c>
      <c r="J124">
        <v>16454.04</v>
      </c>
      <c r="K124">
        <v>20965.27</v>
      </c>
      <c r="L124">
        <v>4511.2299999999996</v>
      </c>
      <c r="M124" t="s">
        <v>18</v>
      </c>
    </row>
    <row r="125" spans="1:13" x14ac:dyDescent="0.3">
      <c r="A125" t="s">
        <v>226</v>
      </c>
      <c r="B125" s="1">
        <v>45989</v>
      </c>
      <c r="C125" t="s">
        <v>227</v>
      </c>
      <c r="D125" t="s">
        <v>21</v>
      </c>
      <c r="E125" t="s">
        <v>16</v>
      </c>
      <c r="F125" t="s">
        <v>27</v>
      </c>
      <c r="G125">
        <v>5</v>
      </c>
      <c r="H125">
        <v>56210.9</v>
      </c>
      <c r="I125">
        <v>0.2</v>
      </c>
      <c r="J125">
        <v>173800.45</v>
      </c>
      <c r="K125">
        <v>224843.6</v>
      </c>
      <c r="L125">
        <v>51043.15</v>
      </c>
      <c r="M125" t="s">
        <v>28</v>
      </c>
    </row>
    <row r="126" spans="1:13" x14ac:dyDescent="0.3">
      <c r="A126" t="s">
        <v>228</v>
      </c>
      <c r="B126" s="1">
        <v>45910</v>
      </c>
      <c r="C126" t="s">
        <v>153</v>
      </c>
      <c r="D126" t="s">
        <v>74</v>
      </c>
      <c r="E126" t="s">
        <v>35</v>
      </c>
      <c r="F126" t="s">
        <v>17</v>
      </c>
      <c r="G126">
        <v>1</v>
      </c>
      <c r="H126">
        <v>5898.38</v>
      </c>
      <c r="I126">
        <v>0.05</v>
      </c>
      <c r="J126">
        <v>3648.69</v>
      </c>
      <c r="K126">
        <v>5603.46</v>
      </c>
      <c r="L126">
        <v>1954.77</v>
      </c>
      <c r="M126" t="s">
        <v>46</v>
      </c>
    </row>
    <row r="127" spans="1:13" x14ac:dyDescent="0.3">
      <c r="A127" t="s">
        <v>229</v>
      </c>
      <c r="B127" s="1">
        <v>46014</v>
      </c>
      <c r="C127" t="s">
        <v>66</v>
      </c>
      <c r="D127" t="s">
        <v>39</v>
      </c>
      <c r="E127" t="s">
        <v>40</v>
      </c>
      <c r="F127" t="s">
        <v>27</v>
      </c>
      <c r="G127">
        <v>2</v>
      </c>
      <c r="H127">
        <v>3309.11</v>
      </c>
      <c r="I127">
        <v>0.15</v>
      </c>
      <c r="J127">
        <v>4245.84</v>
      </c>
      <c r="K127">
        <v>5625.49</v>
      </c>
      <c r="L127">
        <v>1379.65</v>
      </c>
      <c r="M127" t="s">
        <v>46</v>
      </c>
    </row>
    <row r="128" spans="1:13" x14ac:dyDescent="0.3">
      <c r="A128" t="s">
        <v>230</v>
      </c>
      <c r="B128" s="1">
        <v>45801</v>
      </c>
      <c r="C128" t="s">
        <v>231</v>
      </c>
      <c r="D128" t="s">
        <v>74</v>
      </c>
      <c r="E128" t="s">
        <v>35</v>
      </c>
      <c r="F128" t="s">
        <v>51</v>
      </c>
      <c r="G128">
        <v>1</v>
      </c>
      <c r="H128">
        <v>7070.77</v>
      </c>
      <c r="I128">
        <v>0.15</v>
      </c>
      <c r="J128">
        <v>4575.43</v>
      </c>
      <c r="K128">
        <v>6010.15</v>
      </c>
      <c r="L128">
        <v>1434.72</v>
      </c>
      <c r="M128" t="s">
        <v>46</v>
      </c>
    </row>
    <row r="129" spans="1:13" x14ac:dyDescent="0.3">
      <c r="A129" t="s">
        <v>232</v>
      </c>
      <c r="B129" s="1">
        <v>46009</v>
      </c>
      <c r="C129" t="s">
        <v>233</v>
      </c>
      <c r="D129" t="s">
        <v>54</v>
      </c>
      <c r="E129" t="s">
        <v>55</v>
      </c>
      <c r="F129" t="s">
        <v>51</v>
      </c>
      <c r="G129">
        <v>4</v>
      </c>
      <c r="H129">
        <v>1655.77</v>
      </c>
      <c r="I129">
        <v>0.05</v>
      </c>
      <c r="J129">
        <v>5499.8</v>
      </c>
      <c r="K129">
        <v>6291.93</v>
      </c>
      <c r="L129">
        <v>792.13</v>
      </c>
      <c r="M129" t="s">
        <v>36</v>
      </c>
    </row>
    <row r="130" spans="1:13" x14ac:dyDescent="0.3">
      <c r="A130" t="s">
        <v>234</v>
      </c>
      <c r="B130" s="1">
        <v>45890</v>
      </c>
      <c r="C130" t="s">
        <v>129</v>
      </c>
      <c r="D130" t="s">
        <v>74</v>
      </c>
      <c r="E130" t="s">
        <v>35</v>
      </c>
      <c r="F130" t="s">
        <v>22</v>
      </c>
      <c r="G130">
        <v>3</v>
      </c>
      <c r="H130">
        <v>7083.71</v>
      </c>
      <c r="I130">
        <v>0.05</v>
      </c>
      <c r="J130">
        <v>15445.02</v>
      </c>
      <c r="K130">
        <v>20188.57</v>
      </c>
      <c r="L130">
        <v>4743.55</v>
      </c>
      <c r="M130" t="s">
        <v>36</v>
      </c>
    </row>
    <row r="131" spans="1:13" x14ac:dyDescent="0.3">
      <c r="A131" t="s">
        <v>235</v>
      </c>
      <c r="B131" s="1">
        <v>45763</v>
      </c>
      <c r="C131" t="s">
        <v>227</v>
      </c>
      <c r="D131" t="s">
        <v>21</v>
      </c>
      <c r="E131" t="s">
        <v>16</v>
      </c>
      <c r="F131" t="s">
        <v>22</v>
      </c>
      <c r="G131">
        <v>3</v>
      </c>
      <c r="H131">
        <v>58156.76</v>
      </c>
      <c r="I131">
        <v>0.05</v>
      </c>
      <c r="J131">
        <v>131538.87</v>
      </c>
      <c r="K131">
        <v>165746.76999999999</v>
      </c>
      <c r="L131">
        <v>34207.9</v>
      </c>
      <c r="M131" t="s">
        <v>46</v>
      </c>
    </row>
    <row r="132" spans="1:13" x14ac:dyDescent="0.3">
      <c r="A132" t="s">
        <v>236</v>
      </c>
      <c r="B132" s="1">
        <v>45799</v>
      </c>
      <c r="C132" t="s">
        <v>237</v>
      </c>
      <c r="D132" t="s">
        <v>25</v>
      </c>
      <c r="E132" t="s">
        <v>26</v>
      </c>
      <c r="F132" t="s">
        <v>22</v>
      </c>
      <c r="G132">
        <v>3</v>
      </c>
      <c r="H132">
        <v>1834.55</v>
      </c>
      <c r="I132">
        <v>0.05</v>
      </c>
      <c r="J132">
        <v>4034.67</v>
      </c>
      <c r="K132">
        <v>5228.47</v>
      </c>
      <c r="L132">
        <v>1193.8</v>
      </c>
      <c r="M132" t="s">
        <v>28</v>
      </c>
    </row>
    <row r="133" spans="1:13" x14ac:dyDescent="0.3">
      <c r="A133" t="s">
        <v>238</v>
      </c>
      <c r="B133" s="1">
        <v>45779</v>
      </c>
      <c r="C133" t="s">
        <v>184</v>
      </c>
      <c r="D133" t="s">
        <v>45</v>
      </c>
      <c r="E133" t="s">
        <v>16</v>
      </c>
      <c r="F133" t="s">
        <v>51</v>
      </c>
      <c r="G133">
        <v>1</v>
      </c>
      <c r="H133">
        <v>2429.12</v>
      </c>
      <c r="I133">
        <v>0</v>
      </c>
      <c r="J133">
        <v>1457.38</v>
      </c>
      <c r="K133">
        <v>2429.12</v>
      </c>
      <c r="L133">
        <v>971.74</v>
      </c>
      <c r="M133" t="s">
        <v>36</v>
      </c>
    </row>
    <row r="134" spans="1:13" x14ac:dyDescent="0.3">
      <c r="A134" t="s">
        <v>239</v>
      </c>
      <c r="B134" s="1">
        <v>45716</v>
      </c>
      <c r="C134" t="s">
        <v>139</v>
      </c>
      <c r="D134" t="s">
        <v>45</v>
      </c>
      <c r="E134" t="s">
        <v>16</v>
      </c>
      <c r="F134" t="s">
        <v>17</v>
      </c>
      <c r="G134">
        <v>3</v>
      </c>
      <c r="H134">
        <v>2460.48</v>
      </c>
      <c r="I134">
        <v>0</v>
      </c>
      <c r="J134">
        <v>4362.66</v>
      </c>
      <c r="K134">
        <v>7381.44</v>
      </c>
      <c r="L134">
        <v>3018.78</v>
      </c>
      <c r="M134" t="s">
        <v>18</v>
      </c>
    </row>
    <row r="135" spans="1:13" x14ac:dyDescent="0.3">
      <c r="A135" t="s">
        <v>240</v>
      </c>
      <c r="B135" s="1">
        <v>45771</v>
      </c>
      <c r="C135" t="s">
        <v>131</v>
      </c>
      <c r="D135" t="s">
        <v>54</v>
      </c>
      <c r="E135" t="s">
        <v>55</v>
      </c>
      <c r="F135" t="s">
        <v>17</v>
      </c>
      <c r="G135">
        <v>3</v>
      </c>
      <c r="H135">
        <v>1782.72</v>
      </c>
      <c r="I135">
        <v>0.2</v>
      </c>
      <c r="J135">
        <v>3771.45</v>
      </c>
      <c r="K135">
        <v>4278.53</v>
      </c>
      <c r="L135">
        <v>507.08</v>
      </c>
      <c r="M135" t="s">
        <v>28</v>
      </c>
    </row>
    <row r="136" spans="1:13" x14ac:dyDescent="0.3">
      <c r="A136" t="s">
        <v>241</v>
      </c>
      <c r="B136" s="1">
        <v>45876</v>
      </c>
      <c r="C136" t="s">
        <v>62</v>
      </c>
      <c r="D136" t="s">
        <v>54</v>
      </c>
      <c r="E136" t="s">
        <v>55</v>
      </c>
      <c r="F136" t="s">
        <v>17</v>
      </c>
      <c r="G136">
        <v>1</v>
      </c>
      <c r="H136">
        <v>1925.03</v>
      </c>
      <c r="I136">
        <v>0</v>
      </c>
      <c r="J136">
        <v>1439.36</v>
      </c>
      <c r="K136">
        <v>1925.03</v>
      </c>
      <c r="L136">
        <v>485.67</v>
      </c>
      <c r="M136" t="s">
        <v>18</v>
      </c>
    </row>
    <row r="137" spans="1:13" x14ac:dyDescent="0.3">
      <c r="A137" t="s">
        <v>242</v>
      </c>
      <c r="B137" s="1">
        <v>45722</v>
      </c>
      <c r="C137" t="s">
        <v>42</v>
      </c>
      <c r="D137" t="s">
        <v>54</v>
      </c>
      <c r="E137" t="s">
        <v>55</v>
      </c>
      <c r="F137" t="s">
        <v>51</v>
      </c>
      <c r="G137">
        <v>1</v>
      </c>
      <c r="H137">
        <v>1673.4</v>
      </c>
      <c r="I137">
        <v>0</v>
      </c>
      <c r="J137">
        <v>1134.95</v>
      </c>
      <c r="K137">
        <v>1673.4</v>
      </c>
      <c r="L137">
        <v>538.45000000000005</v>
      </c>
      <c r="M137" t="s">
        <v>18</v>
      </c>
    </row>
    <row r="138" spans="1:13" x14ac:dyDescent="0.3">
      <c r="A138" t="s">
        <v>243</v>
      </c>
      <c r="B138" s="1">
        <v>45708</v>
      </c>
      <c r="C138" t="s">
        <v>24</v>
      </c>
      <c r="D138" t="s">
        <v>58</v>
      </c>
      <c r="E138" t="s">
        <v>40</v>
      </c>
      <c r="F138" t="s">
        <v>17</v>
      </c>
      <c r="G138">
        <v>5</v>
      </c>
      <c r="H138">
        <v>4594.88</v>
      </c>
      <c r="I138">
        <v>0.1</v>
      </c>
      <c r="J138">
        <v>14927.15</v>
      </c>
      <c r="K138">
        <v>20676.96</v>
      </c>
      <c r="L138">
        <v>5749.81</v>
      </c>
      <c r="M138" t="s">
        <v>46</v>
      </c>
    </row>
    <row r="139" spans="1:13" x14ac:dyDescent="0.3">
      <c r="A139" t="s">
        <v>244</v>
      </c>
      <c r="B139" s="1">
        <v>45862</v>
      </c>
      <c r="C139" t="s">
        <v>245</v>
      </c>
      <c r="D139" t="s">
        <v>74</v>
      </c>
      <c r="E139" t="s">
        <v>35</v>
      </c>
      <c r="F139" t="s">
        <v>17</v>
      </c>
      <c r="G139">
        <v>4</v>
      </c>
      <c r="H139">
        <v>6925.64</v>
      </c>
      <c r="I139">
        <v>0.05</v>
      </c>
      <c r="J139">
        <v>16989.8</v>
      </c>
      <c r="K139">
        <v>26317.43</v>
      </c>
      <c r="L139">
        <v>9327.6299999999992</v>
      </c>
      <c r="M139" t="s">
        <v>28</v>
      </c>
    </row>
    <row r="140" spans="1:13" x14ac:dyDescent="0.3">
      <c r="A140" t="s">
        <v>246</v>
      </c>
      <c r="B140" s="1">
        <v>45900</v>
      </c>
      <c r="C140" t="s">
        <v>227</v>
      </c>
      <c r="D140" t="s">
        <v>74</v>
      </c>
      <c r="E140" t="s">
        <v>35</v>
      </c>
      <c r="F140" t="s">
        <v>17</v>
      </c>
      <c r="G140">
        <v>3</v>
      </c>
      <c r="H140">
        <v>6048.43</v>
      </c>
      <c r="I140">
        <v>0.1</v>
      </c>
      <c r="J140">
        <v>12549.72</v>
      </c>
      <c r="K140">
        <v>16330.76</v>
      </c>
      <c r="L140">
        <v>3781.04</v>
      </c>
      <c r="M140" t="s">
        <v>36</v>
      </c>
    </row>
    <row r="141" spans="1:13" x14ac:dyDescent="0.3">
      <c r="A141" t="s">
        <v>247</v>
      </c>
      <c r="B141" s="1">
        <v>45724</v>
      </c>
      <c r="C141" t="s">
        <v>20</v>
      </c>
      <c r="D141" t="s">
        <v>15</v>
      </c>
      <c r="E141" t="s">
        <v>16</v>
      </c>
      <c r="F141" t="s">
        <v>17</v>
      </c>
      <c r="G141">
        <v>4</v>
      </c>
      <c r="H141">
        <v>21439.65</v>
      </c>
      <c r="I141">
        <v>0</v>
      </c>
      <c r="J141">
        <v>64780.959999999999</v>
      </c>
      <c r="K141">
        <v>85758.6</v>
      </c>
      <c r="L141">
        <v>20977.64</v>
      </c>
      <c r="M141" t="s">
        <v>28</v>
      </c>
    </row>
    <row r="142" spans="1:13" x14ac:dyDescent="0.3">
      <c r="A142" t="s">
        <v>248</v>
      </c>
      <c r="B142" s="1">
        <v>45874</v>
      </c>
      <c r="C142" t="s">
        <v>249</v>
      </c>
      <c r="D142" t="s">
        <v>15</v>
      </c>
      <c r="E142" t="s">
        <v>16</v>
      </c>
      <c r="F142" t="s">
        <v>17</v>
      </c>
      <c r="G142">
        <v>4</v>
      </c>
      <c r="H142">
        <v>23940.97</v>
      </c>
      <c r="I142">
        <v>0.1</v>
      </c>
      <c r="J142">
        <v>67619.360000000001</v>
      </c>
      <c r="K142">
        <v>86187.49</v>
      </c>
      <c r="L142">
        <v>18568.13</v>
      </c>
      <c r="M142" t="s">
        <v>28</v>
      </c>
    </row>
    <row r="143" spans="1:13" x14ac:dyDescent="0.3">
      <c r="A143" t="s">
        <v>250</v>
      </c>
      <c r="B143" s="1">
        <v>45737</v>
      </c>
      <c r="C143" t="s">
        <v>196</v>
      </c>
      <c r="D143" t="s">
        <v>58</v>
      </c>
      <c r="E143" t="s">
        <v>40</v>
      </c>
      <c r="F143" t="s">
        <v>27</v>
      </c>
      <c r="G143">
        <v>3</v>
      </c>
      <c r="H143">
        <v>4506.67</v>
      </c>
      <c r="I143">
        <v>0.1</v>
      </c>
      <c r="J143">
        <v>7774.65</v>
      </c>
      <c r="K143">
        <v>12168.01</v>
      </c>
      <c r="L143">
        <v>4393.3599999999997</v>
      </c>
      <c r="M143" t="s">
        <v>46</v>
      </c>
    </row>
    <row r="144" spans="1:13" x14ac:dyDescent="0.3">
      <c r="A144" t="s">
        <v>251</v>
      </c>
      <c r="B144" s="1">
        <v>45951</v>
      </c>
      <c r="C144" t="s">
        <v>73</v>
      </c>
      <c r="D144" t="s">
        <v>15</v>
      </c>
      <c r="E144" t="s">
        <v>16</v>
      </c>
      <c r="F144" t="s">
        <v>27</v>
      </c>
      <c r="G144">
        <v>3</v>
      </c>
      <c r="H144">
        <v>23155.46</v>
      </c>
      <c r="I144">
        <v>0.2</v>
      </c>
      <c r="J144">
        <v>42364.77</v>
      </c>
      <c r="K144">
        <v>55573.1</v>
      </c>
      <c r="L144">
        <v>13208.33</v>
      </c>
      <c r="M144" t="s">
        <v>36</v>
      </c>
    </row>
    <row r="145" spans="1:13" x14ac:dyDescent="0.3">
      <c r="A145" t="s">
        <v>252</v>
      </c>
      <c r="B145" s="1">
        <v>45816</v>
      </c>
      <c r="C145" t="s">
        <v>160</v>
      </c>
      <c r="D145" t="s">
        <v>58</v>
      </c>
      <c r="E145" t="s">
        <v>40</v>
      </c>
      <c r="F145" t="s">
        <v>51</v>
      </c>
      <c r="G145">
        <v>3</v>
      </c>
      <c r="H145">
        <v>4682.43</v>
      </c>
      <c r="I145">
        <v>0</v>
      </c>
      <c r="J145">
        <v>8033.91</v>
      </c>
      <c r="K145">
        <v>14047.29</v>
      </c>
      <c r="L145">
        <v>6013.38</v>
      </c>
      <c r="M145" t="s">
        <v>36</v>
      </c>
    </row>
    <row r="146" spans="1:13" x14ac:dyDescent="0.3">
      <c r="A146" t="s">
        <v>253</v>
      </c>
      <c r="B146" s="1">
        <v>45982</v>
      </c>
      <c r="C146" t="s">
        <v>115</v>
      </c>
      <c r="D146" t="s">
        <v>45</v>
      </c>
      <c r="E146" t="s">
        <v>16</v>
      </c>
      <c r="F146" t="s">
        <v>17</v>
      </c>
      <c r="G146">
        <v>2</v>
      </c>
      <c r="H146">
        <v>2284.79</v>
      </c>
      <c r="I146">
        <v>0.2</v>
      </c>
      <c r="J146">
        <v>3571.68</v>
      </c>
      <c r="K146">
        <v>3655.66</v>
      </c>
      <c r="L146">
        <v>83.98</v>
      </c>
      <c r="M146" t="s">
        <v>46</v>
      </c>
    </row>
    <row r="147" spans="1:13" x14ac:dyDescent="0.3">
      <c r="A147" t="s">
        <v>254</v>
      </c>
      <c r="B147" s="1">
        <v>45824</v>
      </c>
      <c r="C147" t="s">
        <v>155</v>
      </c>
      <c r="D147" t="s">
        <v>74</v>
      </c>
      <c r="E147" t="s">
        <v>35</v>
      </c>
      <c r="F147" t="s">
        <v>17</v>
      </c>
      <c r="G147">
        <v>4</v>
      </c>
      <c r="H147">
        <v>6331.07</v>
      </c>
      <c r="I147">
        <v>0.15</v>
      </c>
      <c r="J147">
        <v>16515.84</v>
      </c>
      <c r="K147">
        <v>21525.64</v>
      </c>
      <c r="L147">
        <v>5009.8</v>
      </c>
      <c r="M147" t="s">
        <v>36</v>
      </c>
    </row>
    <row r="148" spans="1:13" x14ac:dyDescent="0.3">
      <c r="A148" t="s">
        <v>255</v>
      </c>
      <c r="B148" s="1">
        <v>45884</v>
      </c>
      <c r="C148" t="s">
        <v>196</v>
      </c>
      <c r="D148" t="s">
        <v>45</v>
      </c>
      <c r="E148" t="s">
        <v>16</v>
      </c>
      <c r="F148" t="s">
        <v>27</v>
      </c>
      <c r="G148">
        <v>2</v>
      </c>
      <c r="H148">
        <v>2290.79</v>
      </c>
      <c r="I148">
        <v>0.2</v>
      </c>
      <c r="J148">
        <v>2812.2</v>
      </c>
      <c r="K148">
        <v>3665.26</v>
      </c>
      <c r="L148">
        <v>853.06</v>
      </c>
      <c r="M148" t="s">
        <v>18</v>
      </c>
    </row>
    <row r="149" spans="1:13" x14ac:dyDescent="0.3">
      <c r="A149" t="s">
        <v>256</v>
      </c>
      <c r="B149" s="1">
        <v>45716</v>
      </c>
      <c r="C149" t="s">
        <v>257</v>
      </c>
      <c r="D149" t="s">
        <v>58</v>
      </c>
      <c r="E149" t="s">
        <v>40</v>
      </c>
      <c r="F149" t="s">
        <v>27</v>
      </c>
      <c r="G149">
        <v>4</v>
      </c>
      <c r="H149">
        <v>4729.45</v>
      </c>
      <c r="I149">
        <v>0.15</v>
      </c>
      <c r="J149">
        <v>11129.24</v>
      </c>
      <c r="K149">
        <v>16080.13</v>
      </c>
      <c r="L149">
        <v>4950.8900000000003</v>
      </c>
      <c r="M149" t="s">
        <v>36</v>
      </c>
    </row>
    <row r="150" spans="1:13" x14ac:dyDescent="0.3">
      <c r="A150" t="s">
        <v>258</v>
      </c>
      <c r="B150" s="1">
        <v>45770</v>
      </c>
      <c r="C150" t="s">
        <v>157</v>
      </c>
      <c r="D150" t="s">
        <v>31</v>
      </c>
      <c r="E150" t="s">
        <v>26</v>
      </c>
      <c r="F150" t="s">
        <v>17</v>
      </c>
      <c r="G150">
        <v>5</v>
      </c>
      <c r="H150">
        <v>865.52</v>
      </c>
      <c r="I150">
        <v>0.15</v>
      </c>
      <c r="J150">
        <v>3067.8</v>
      </c>
      <c r="K150">
        <v>3678.46</v>
      </c>
      <c r="L150">
        <v>610.66</v>
      </c>
      <c r="M150" t="s">
        <v>36</v>
      </c>
    </row>
    <row r="151" spans="1:13" x14ac:dyDescent="0.3">
      <c r="A151" t="s">
        <v>259</v>
      </c>
      <c r="B151" s="1">
        <v>45806</v>
      </c>
      <c r="C151" t="s">
        <v>260</v>
      </c>
      <c r="D151" t="s">
        <v>25</v>
      </c>
      <c r="E151" t="s">
        <v>26</v>
      </c>
      <c r="F151" t="s">
        <v>17</v>
      </c>
      <c r="G151">
        <v>3</v>
      </c>
      <c r="H151">
        <v>1895.1</v>
      </c>
      <c r="I151">
        <v>0.05</v>
      </c>
      <c r="J151">
        <v>4005.93</v>
      </c>
      <c r="K151">
        <v>5401.03</v>
      </c>
      <c r="L151">
        <v>1395.1</v>
      </c>
      <c r="M151" t="s">
        <v>36</v>
      </c>
    </row>
    <row r="152" spans="1:13" x14ac:dyDescent="0.3">
      <c r="A152" t="s">
        <v>261</v>
      </c>
      <c r="B152" s="1">
        <v>45775</v>
      </c>
      <c r="C152" t="s">
        <v>64</v>
      </c>
      <c r="D152" t="s">
        <v>54</v>
      </c>
      <c r="E152" t="s">
        <v>55</v>
      </c>
      <c r="F152" t="s">
        <v>51</v>
      </c>
      <c r="G152">
        <v>4</v>
      </c>
      <c r="H152">
        <v>1811.73</v>
      </c>
      <c r="I152">
        <v>0.05</v>
      </c>
      <c r="J152">
        <v>4192.5200000000004</v>
      </c>
      <c r="K152">
        <v>6884.57</v>
      </c>
      <c r="L152">
        <v>2692.05</v>
      </c>
      <c r="M152" t="s">
        <v>36</v>
      </c>
    </row>
    <row r="153" spans="1:13" x14ac:dyDescent="0.3">
      <c r="A153" t="s">
        <v>262</v>
      </c>
      <c r="B153" s="1">
        <v>45818</v>
      </c>
      <c r="C153" t="s">
        <v>217</v>
      </c>
      <c r="D153" t="s">
        <v>74</v>
      </c>
      <c r="E153" t="s">
        <v>35</v>
      </c>
      <c r="F153" t="s">
        <v>27</v>
      </c>
      <c r="G153">
        <v>1</v>
      </c>
      <c r="H153">
        <v>7047.51</v>
      </c>
      <c r="I153">
        <v>0.15</v>
      </c>
      <c r="J153">
        <v>3605.45</v>
      </c>
      <c r="K153">
        <v>5990.38</v>
      </c>
      <c r="L153">
        <v>2384.9299999999998</v>
      </c>
      <c r="M153" t="s">
        <v>18</v>
      </c>
    </row>
    <row r="154" spans="1:13" x14ac:dyDescent="0.3">
      <c r="A154" t="s">
        <v>263</v>
      </c>
      <c r="B154" s="1">
        <v>45745</v>
      </c>
      <c r="C154" t="s">
        <v>108</v>
      </c>
      <c r="D154" t="s">
        <v>74</v>
      </c>
      <c r="E154" t="s">
        <v>35</v>
      </c>
      <c r="F154" t="s">
        <v>27</v>
      </c>
      <c r="G154">
        <v>3</v>
      </c>
      <c r="H154">
        <v>7106.06</v>
      </c>
      <c r="I154">
        <v>0</v>
      </c>
      <c r="J154">
        <v>12699.54</v>
      </c>
      <c r="K154">
        <v>21318.18</v>
      </c>
      <c r="L154">
        <v>8618.64</v>
      </c>
      <c r="M154" t="s">
        <v>28</v>
      </c>
    </row>
    <row r="155" spans="1:13" x14ac:dyDescent="0.3">
      <c r="A155" t="s">
        <v>264</v>
      </c>
      <c r="B155" s="1">
        <v>45926</v>
      </c>
      <c r="C155" t="s">
        <v>142</v>
      </c>
      <c r="D155" t="s">
        <v>15</v>
      </c>
      <c r="E155" t="s">
        <v>16</v>
      </c>
      <c r="F155" t="s">
        <v>27</v>
      </c>
      <c r="G155">
        <v>4</v>
      </c>
      <c r="H155">
        <v>22391.03</v>
      </c>
      <c r="I155">
        <v>0</v>
      </c>
      <c r="J155">
        <v>53752.959999999999</v>
      </c>
      <c r="K155">
        <v>89564.12</v>
      </c>
      <c r="L155">
        <v>35811.160000000003</v>
      </c>
      <c r="M155" t="s">
        <v>28</v>
      </c>
    </row>
    <row r="156" spans="1:13" x14ac:dyDescent="0.3">
      <c r="A156" t="s">
        <v>265</v>
      </c>
      <c r="B156" s="1">
        <v>45982</v>
      </c>
      <c r="C156" t="s">
        <v>153</v>
      </c>
      <c r="D156" t="s">
        <v>34</v>
      </c>
      <c r="E156" t="s">
        <v>35</v>
      </c>
      <c r="F156" t="s">
        <v>22</v>
      </c>
      <c r="G156">
        <v>2</v>
      </c>
      <c r="H156">
        <v>7779.84</v>
      </c>
      <c r="I156">
        <v>0.1</v>
      </c>
      <c r="J156">
        <v>12661.26</v>
      </c>
      <c r="K156">
        <v>14003.71</v>
      </c>
      <c r="L156">
        <v>1342.45</v>
      </c>
      <c r="M156" t="s">
        <v>28</v>
      </c>
    </row>
    <row r="157" spans="1:13" x14ac:dyDescent="0.3">
      <c r="A157" t="s">
        <v>266</v>
      </c>
      <c r="B157" s="1">
        <v>45746</v>
      </c>
      <c r="C157" t="s">
        <v>177</v>
      </c>
      <c r="D157" t="s">
        <v>34</v>
      </c>
      <c r="E157" t="s">
        <v>35</v>
      </c>
      <c r="F157" t="s">
        <v>22</v>
      </c>
      <c r="G157">
        <v>2</v>
      </c>
      <c r="H157">
        <v>8085.15</v>
      </c>
      <c r="I157">
        <v>0.05</v>
      </c>
      <c r="J157">
        <v>9786.92</v>
      </c>
      <c r="K157">
        <v>15361.78</v>
      </c>
      <c r="L157">
        <v>5574.86</v>
      </c>
      <c r="M157" t="s">
        <v>36</v>
      </c>
    </row>
    <row r="158" spans="1:13" x14ac:dyDescent="0.3">
      <c r="A158" t="s">
        <v>267</v>
      </c>
      <c r="B158" s="1">
        <v>45887</v>
      </c>
      <c r="C158" t="s">
        <v>62</v>
      </c>
      <c r="D158" t="s">
        <v>45</v>
      </c>
      <c r="E158" t="s">
        <v>16</v>
      </c>
      <c r="F158" t="s">
        <v>51</v>
      </c>
      <c r="G158">
        <v>4</v>
      </c>
      <c r="H158">
        <v>2629.94</v>
      </c>
      <c r="I158">
        <v>0.15</v>
      </c>
      <c r="J158">
        <v>7386.12</v>
      </c>
      <c r="K158">
        <v>8941.7999999999993</v>
      </c>
      <c r="L158">
        <v>1555.68</v>
      </c>
      <c r="M158" t="s">
        <v>28</v>
      </c>
    </row>
    <row r="159" spans="1:13" x14ac:dyDescent="0.3">
      <c r="A159" t="s">
        <v>268</v>
      </c>
      <c r="B159" s="1">
        <v>45798</v>
      </c>
      <c r="C159" t="s">
        <v>184</v>
      </c>
      <c r="D159" t="s">
        <v>45</v>
      </c>
      <c r="E159" t="s">
        <v>16</v>
      </c>
      <c r="F159" t="s">
        <v>17</v>
      </c>
      <c r="G159">
        <v>4</v>
      </c>
      <c r="H159">
        <v>2565.69</v>
      </c>
      <c r="I159">
        <v>0</v>
      </c>
      <c r="J159">
        <v>6672.32</v>
      </c>
      <c r="K159">
        <v>10262.76</v>
      </c>
      <c r="L159">
        <v>3590.44</v>
      </c>
      <c r="M159" t="s">
        <v>28</v>
      </c>
    </row>
    <row r="160" spans="1:13" x14ac:dyDescent="0.3">
      <c r="A160" t="s">
        <v>269</v>
      </c>
      <c r="B160" s="1">
        <v>45846</v>
      </c>
      <c r="C160" t="s">
        <v>203</v>
      </c>
      <c r="D160" t="s">
        <v>39</v>
      </c>
      <c r="E160" t="s">
        <v>40</v>
      </c>
      <c r="F160" t="s">
        <v>17</v>
      </c>
      <c r="G160">
        <v>1</v>
      </c>
      <c r="H160">
        <v>2904.07</v>
      </c>
      <c r="I160">
        <v>0.1</v>
      </c>
      <c r="J160">
        <v>2129.39</v>
      </c>
      <c r="K160">
        <v>2613.66</v>
      </c>
      <c r="L160">
        <v>484.27</v>
      </c>
      <c r="M160" t="s">
        <v>36</v>
      </c>
    </row>
    <row r="161" spans="1:13" x14ac:dyDescent="0.3">
      <c r="A161" t="s">
        <v>270</v>
      </c>
      <c r="B161" s="1">
        <v>45679</v>
      </c>
      <c r="C161" t="s">
        <v>271</v>
      </c>
      <c r="D161" t="s">
        <v>58</v>
      </c>
      <c r="E161" t="s">
        <v>40</v>
      </c>
      <c r="F161" t="s">
        <v>22</v>
      </c>
      <c r="G161">
        <v>5</v>
      </c>
      <c r="H161">
        <v>4572.3</v>
      </c>
      <c r="I161">
        <v>0.2</v>
      </c>
      <c r="J161">
        <v>14537.7</v>
      </c>
      <c r="K161">
        <v>18289.2</v>
      </c>
      <c r="L161">
        <v>3751.5</v>
      </c>
      <c r="M161" t="s">
        <v>28</v>
      </c>
    </row>
    <row r="162" spans="1:13" x14ac:dyDescent="0.3">
      <c r="A162" t="s">
        <v>272</v>
      </c>
      <c r="B162" s="1">
        <v>45710</v>
      </c>
      <c r="C162" t="s">
        <v>160</v>
      </c>
      <c r="D162" t="s">
        <v>58</v>
      </c>
      <c r="E162" t="s">
        <v>40</v>
      </c>
      <c r="F162" t="s">
        <v>17</v>
      </c>
      <c r="G162">
        <v>4</v>
      </c>
      <c r="H162">
        <v>4105.6899999999996</v>
      </c>
      <c r="I162">
        <v>0.2</v>
      </c>
      <c r="J162">
        <v>10578.88</v>
      </c>
      <c r="K162">
        <v>13138.21</v>
      </c>
      <c r="L162">
        <v>2559.33</v>
      </c>
      <c r="M162" t="s">
        <v>46</v>
      </c>
    </row>
    <row r="163" spans="1:13" x14ac:dyDescent="0.3">
      <c r="A163" t="s">
        <v>273</v>
      </c>
      <c r="B163" s="1">
        <v>45970</v>
      </c>
      <c r="C163" t="s">
        <v>193</v>
      </c>
      <c r="D163" t="s">
        <v>21</v>
      </c>
      <c r="E163" t="s">
        <v>16</v>
      </c>
      <c r="F163" t="s">
        <v>51</v>
      </c>
      <c r="G163">
        <v>2</v>
      </c>
      <c r="H163">
        <v>55264.75</v>
      </c>
      <c r="I163">
        <v>0.15</v>
      </c>
      <c r="J163">
        <v>87752.12</v>
      </c>
      <c r="K163">
        <v>93950.07</v>
      </c>
      <c r="L163">
        <v>6197.95</v>
      </c>
      <c r="M163" t="s">
        <v>28</v>
      </c>
    </row>
    <row r="164" spans="1:13" x14ac:dyDescent="0.3">
      <c r="A164" t="s">
        <v>274</v>
      </c>
      <c r="B164" s="1">
        <v>45684</v>
      </c>
      <c r="C164" t="s">
        <v>275</v>
      </c>
      <c r="D164" t="s">
        <v>31</v>
      </c>
      <c r="E164" t="s">
        <v>26</v>
      </c>
      <c r="F164" t="s">
        <v>51</v>
      </c>
      <c r="G164">
        <v>4</v>
      </c>
      <c r="H164">
        <v>932.2</v>
      </c>
      <c r="I164">
        <v>0.15</v>
      </c>
      <c r="J164">
        <v>2677</v>
      </c>
      <c r="K164">
        <v>3169.48</v>
      </c>
      <c r="L164">
        <v>492.48</v>
      </c>
      <c r="M164" t="s">
        <v>36</v>
      </c>
    </row>
    <row r="165" spans="1:13" x14ac:dyDescent="0.3">
      <c r="A165" t="s">
        <v>276</v>
      </c>
      <c r="B165" s="1">
        <v>45994</v>
      </c>
      <c r="C165" t="s">
        <v>177</v>
      </c>
      <c r="D165" t="s">
        <v>34</v>
      </c>
      <c r="E165" t="s">
        <v>35</v>
      </c>
      <c r="F165" t="s">
        <v>22</v>
      </c>
      <c r="G165">
        <v>1</v>
      </c>
      <c r="H165">
        <v>8133.05</v>
      </c>
      <c r="I165">
        <v>0.2</v>
      </c>
      <c r="J165">
        <v>6116.56</v>
      </c>
      <c r="K165">
        <v>6506.44</v>
      </c>
      <c r="L165">
        <v>389.88</v>
      </c>
      <c r="M165" t="s">
        <v>28</v>
      </c>
    </row>
    <row r="166" spans="1:13" x14ac:dyDescent="0.3">
      <c r="A166" t="s">
        <v>277</v>
      </c>
      <c r="B166" s="1">
        <v>45993</v>
      </c>
      <c r="C166" t="s">
        <v>24</v>
      </c>
      <c r="D166" t="s">
        <v>15</v>
      </c>
      <c r="E166" t="s">
        <v>16</v>
      </c>
      <c r="F166" t="s">
        <v>27</v>
      </c>
      <c r="G166">
        <v>5</v>
      </c>
      <c r="H166">
        <v>21165.02</v>
      </c>
      <c r="I166">
        <v>0.05</v>
      </c>
      <c r="J166">
        <v>85710.55</v>
      </c>
      <c r="K166">
        <v>100533.85</v>
      </c>
      <c r="L166">
        <v>14823.3</v>
      </c>
      <c r="M166" t="s">
        <v>46</v>
      </c>
    </row>
    <row r="167" spans="1:13" x14ac:dyDescent="0.3">
      <c r="A167" t="s">
        <v>278</v>
      </c>
      <c r="B167" s="1">
        <v>45826</v>
      </c>
      <c r="C167" t="s">
        <v>279</v>
      </c>
      <c r="D167" t="s">
        <v>58</v>
      </c>
      <c r="E167" t="s">
        <v>40</v>
      </c>
      <c r="F167" t="s">
        <v>17</v>
      </c>
      <c r="G167">
        <v>1</v>
      </c>
      <c r="H167">
        <v>4629.1400000000003</v>
      </c>
      <c r="I167">
        <v>0.1</v>
      </c>
      <c r="J167">
        <v>3103.79</v>
      </c>
      <c r="K167">
        <v>4166.2299999999996</v>
      </c>
      <c r="L167">
        <v>1062.44</v>
      </c>
      <c r="M167" t="s">
        <v>18</v>
      </c>
    </row>
    <row r="168" spans="1:13" x14ac:dyDescent="0.3">
      <c r="A168" t="s">
        <v>280</v>
      </c>
      <c r="B168" s="1">
        <v>45767</v>
      </c>
      <c r="C168" t="s">
        <v>160</v>
      </c>
      <c r="D168" t="s">
        <v>39</v>
      </c>
      <c r="E168" t="s">
        <v>40</v>
      </c>
      <c r="F168" t="s">
        <v>27</v>
      </c>
      <c r="G168">
        <v>3</v>
      </c>
      <c r="H168">
        <v>2995.37</v>
      </c>
      <c r="I168">
        <v>0</v>
      </c>
      <c r="J168">
        <v>6150.24</v>
      </c>
      <c r="K168">
        <v>8986.11</v>
      </c>
      <c r="L168">
        <v>2835.87</v>
      </c>
      <c r="M168" t="s">
        <v>46</v>
      </c>
    </row>
    <row r="169" spans="1:13" x14ac:dyDescent="0.3">
      <c r="A169" t="s">
        <v>281</v>
      </c>
      <c r="B169" s="1">
        <v>45709</v>
      </c>
      <c r="C169" t="s">
        <v>64</v>
      </c>
      <c r="D169" t="s">
        <v>25</v>
      </c>
      <c r="E169" t="s">
        <v>26</v>
      </c>
      <c r="F169" t="s">
        <v>17</v>
      </c>
      <c r="G169">
        <v>2</v>
      </c>
      <c r="H169">
        <v>1923.99</v>
      </c>
      <c r="I169">
        <v>0.05</v>
      </c>
      <c r="J169">
        <v>2049.44</v>
      </c>
      <c r="K169">
        <v>3655.58</v>
      </c>
      <c r="L169">
        <v>1606.14</v>
      </c>
      <c r="M169" t="s">
        <v>28</v>
      </c>
    </row>
    <row r="170" spans="1:13" x14ac:dyDescent="0.3">
      <c r="A170" t="s">
        <v>282</v>
      </c>
      <c r="B170" s="1">
        <v>46012</v>
      </c>
      <c r="C170" t="s">
        <v>70</v>
      </c>
      <c r="D170" t="s">
        <v>58</v>
      </c>
      <c r="E170" t="s">
        <v>40</v>
      </c>
      <c r="F170" t="s">
        <v>22</v>
      </c>
      <c r="G170">
        <v>2</v>
      </c>
      <c r="H170">
        <v>4196.0200000000004</v>
      </c>
      <c r="I170">
        <v>0.2</v>
      </c>
      <c r="J170">
        <v>5797.62</v>
      </c>
      <c r="K170">
        <v>6713.63</v>
      </c>
      <c r="L170">
        <v>916.01</v>
      </c>
      <c r="M170" t="s">
        <v>18</v>
      </c>
    </row>
    <row r="171" spans="1:13" x14ac:dyDescent="0.3">
      <c r="A171" t="s">
        <v>283</v>
      </c>
      <c r="B171" s="1">
        <v>45885</v>
      </c>
      <c r="C171" t="s">
        <v>131</v>
      </c>
      <c r="D171" t="s">
        <v>21</v>
      </c>
      <c r="E171" t="s">
        <v>16</v>
      </c>
      <c r="F171" t="s">
        <v>51</v>
      </c>
      <c r="G171">
        <v>4</v>
      </c>
      <c r="H171">
        <v>52112.83</v>
      </c>
      <c r="I171">
        <v>0.1</v>
      </c>
      <c r="J171">
        <v>158199.96</v>
      </c>
      <c r="K171">
        <v>187606.19</v>
      </c>
      <c r="L171">
        <v>29406.23</v>
      </c>
      <c r="M171" t="s">
        <v>18</v>
      </c>
    </row>
    <row r="172" spans="1:13" x14ac:dyDescent="0.3">
      <c r="A172" t="s">
        <v>284</v>
      </c>
      <c r="B172" s="1">
        <v>45898</v>
      </c>
      <c r="C172" t="s">
        <v>79</v>
      </c>
      <c r="D172" t="s">
        <v>25</v>
      </c>
      <c r="E172" t="s">
        <v>26</v>
      </c>
      <c r="F172" t="s">
        <v>51</v>
      </c>
      <c r="G172">
        <v>5</v>
      </c>
      <c r="H172">
        <v>1911.1</v>
      </c>
      <c r="I172">
        <v>0.05</v>
      </c>
      <c r="J172">
        <v>5646.3</v>
      </c>
      <c r="K172">
        <v>9077.73</v>
      </c>
      <c r="L172">
        <v>3431.43</v>
      </c>
      <c r="M172" t="s">
        <v>18</v>
      </c>
    </row>
    <row r="173" spans="1:13" x14ac:dyDescent="0.3">
      <c r="A173" t="s">
        <v>285</v>
      </c>
      <c r="B173" s="1">
        <v>45740</v>
      </c>
      <c r="C173" t="s">
        <v>112</v>
      </c>
      <c r="D173" t="s">
        <v>54</v>
      </c>
      <c r="E173" t="s">
        <v>55</v>
      </c>
      <c r="F173" t="s">
        <v>22</v>
      </c>
      <c r="G173">
        <v>3</v>
      </c>
      <c r="H173">
        <v>1770.72</v>
      </c>
      <c r="I173">
        <v>0.15</v>
      </c>
      <c r="J173">
        <v>3648.93</v>
      </c>
      <c r="K173">
        <v>4515.34</v>
      </c>
      <c r="L173">
        <v>866.41</v>
      </c>
      <c r="M173" t="s">
        <v>28</v>
      </c>
    </row>
    <row r="174" spans="1:13" x14ac:dyDescent="0.3">
      <c r="A174" t="s">
        <v>286</v>
      </c>
      <c r="B174" s="1">
        <v>45922</v>
      </c>
      <c r="C174" t="s">
        <v>33</v>
      </c>
      <c r="D174" t="s">
        <v>21</v>
      </c>
      <c r="E174" t="s">
        <v>16</v>
      </c>
      <c r="F174" t="s">
        <v>51</v>
      </c>
      <c r="G174">
        <v>4</v>
      </c>
      <c r="H174">
        <v>50628.49</v>
      </c>
      <c r="I174">
        <v>0.1</v>
      </c>
      <c r="J174">
        <v>151499.76</v>
      </c>
      <c r="K174">
        <v>182262.56</v>
      </c>
      <c r="L174">
        <v>30762.799999999999</v>
      </c>
      <c r="M174" t="s">
        <v>36</v>
      </c>
    </row>
    <row r="175" spans="1:13" x14ac:dyDescent="0.3">
      <c r="A175" t="s">
        <v>287</v>
      </c>
      <c r="B175" s="1">
        <v>45881</v>
      </c>
      <c r="C175" t="s">
        <v>129</v>
      </c>
      <c r="D175" t="s">
        <v>45</v>
      </c>
      <c r="E175" t="s">
        <v>16</v>
      </c>
      <c r="F175" t="s">
        <v>22</v>
      </c>
      <c r="G175">
        <v>3</v>
      </c>
      <c r="H175">
        <v>2323.67</v>
      </c>
      <c r="I175">
        <v>0.15</v>
      </c>
      <c r="J175">
        <v>5822.46</v>
      </c>
      <c r="K175">
        <v>5925.36</v>
      </c>
      <c r="L175">
        <v>102.9</v>
      </c>
      <c r="M175" t="s">
        <v>18</v>
      </c>
    </row>
    <row r="176" spans="1:13" x14ac:dyDescent="0.3">
      <c r="A176" t="s">
        <v>288</v>
      </c>
      <c r="B176" s="1">
        <v>45778</v>
      </c>
      <c r="C176" t="s">
        <v>60</v>
      </c>
      <c r="D176" t="s">
        <v>34</v>
      </c>
      <c r="E176" t="s">
        <v>35</v>
      </c>
      <c r="F176" t="s">
        <v>17</v>
      </c>
      <c r="G176">
        <v>1</v>
      </c>
      <c r="H176">
        <v>8503.41</v>
      </c>
      <c r="I176">
        <v>0.15</v>
      </c>
      <c r="J176">
        <v>4788.17</v>
      </c>
      <c r="K176">
        <v>7227.9</v>
      </c>
      <c r="L176">
        <v>2439.73</v>
      </c>
      <c r="M176" t="s">
        <v>28</v>
      </c>
    </row>
    <row r="177" spans="1:13" x14ac:dyDescent="0.3">
      <c r="A177" t="s">
        <v>289</v>
      </c>
      <c r="B177" s="1">
        <v>45990</v>
      </c>
      <c r="C177" t="s">
        <v>121</v>
      </c>
      <c r="D177" t="s">
        <v>25</v>
      </c>
      <c r="E177" t="s">
        <v>26</v>
      </c>
      <c r="F177" t="s">
        <v>22</v>
      </c>
      <c r="G177">
        <v>1</v>
      </c>
      <c r="H177">
        <v>1922.1</v>
      </c>
      <c r="I177">
        <v>0.1</v>
      </c>
      <c r="J177">
        <v>1408.87</v>
      </c>
      <c r="K177">
        <v>1729.89</v>
      </c>
      <c r="L177">
        <v>321.02</v>
      </c>
      <c r="M177" t="s">
        <v>46</v>
      </c>
    </row>
    <row r="178" spans="1:13" x14ac:dyDescent="0.3">
      <c r="A178" t="s">
        <v>290</v>
      </c>
      <c r="B178" s="1">
        <v>46019</v>
      </c>
      <c r="C178" t="s">
        <v>291</v>
      </c>
      <c r="D178" t="s">
        <v>21</v>
      </c>
      <c r="E178" t="s">
        <v>16</v>
      </c>
      <c r="F178" t="s">
        <v>27</v>
      </c>
      <c r="G178">
        <v>3</v>
      </c>
      <c r="H178">
        <v>51026.720000000001</v>
      </c>
      <c r="I178">
        <v>0.15</v>
      </c>
      <c r="J178">
        <v>119462.97</v>
      </c>
      <c r="K178">
        <v>130118.14</v>
      </c>
      <c r="L178">
        <v>10655.17</v>
      </c>
      <c r="M178" t="s">
        <v>36</v>
      </c>
    </row>
    <row r="179" spans="1:13" x14ac:dyDescent="0.3">
      <c r="A179" t="s">
        <v>292</v>
      </c>
      <c r="B179" s="1">
        <v>45969</v>
      </c>
      <c r="C179" t="s">
        <v>222</v>
      </c>
      <c r="D179" t="s">
        <v>15</v>
      </c>
      <c r="E179" t="s">
        <v>16</v>
      </c>
      <c r="F179" t="s">
        <v>27</v>
      </c>
      <c r="G179">
        <v>1</v>
      </c>
      <c r="H179">
        <v>20457.89</v>
      </c>
      <c r="I179">
        <v>0.1</v>
      </c>
      <c r="J179">
        <v>13286.1</v>
      </c>
      <c r="K179">
        <v>18412.099999999999</v>
      </c>
      <c r="L179">
        <v>5126</v>
      </c>
      <c r="M179" t="s">
        <v>36</v>
      </c>
    </row>
    <row r="180" spans="1:13" x14ac:dyDescent="0.3">
      <c r="A180" t="s">
        <v>293</v>
      </c>
      <c r="B180" s="1">
        <v>45985</v>
      </c>
      <c r="C180" t="s">
        <v>108</v>
      </c>
      <c r="D180" t="s">
        <v>31</v>
      </c>
      <c r="E180" t="s">
        <v>26</v>
      </c>
      <c r="F180" t="s">
        <v>27</v>
      </c>
      <c r="G180">
        <v>2</v>
      </c>
      <c r="H180">
        <v>852.92</v>
      </c>
      <c r="I180">
        <v>0.1</v>
      </c>
      <c r="J180">
        <v>1044.8399999999999</v>
      </c>
      <c r="K180">
        <v>1535.26</v>
      </c>
      <c r="L180">
        <v>490.42</v>
      </c>
      <c r="M180" t="s">
        <v>36</v>
      </c>
    </row>
    <row r="181" spans="1:13" x14ac:dyDescent="0.3">
      <c r="A181" t="s">
        <v>294</v>
      </c>
      <c r="B181" s="1">
        <v>45952</v>
      </c>
      <c r="C181" t="s">
        <v>68</v>
      </c>
      <c r="D181" t="s">
        <v>15</v>
      </c>
      <c r="E181" t="s">
        <v>16</v>
      </c>
      <c r="F181" t="s">
        <v>22</v>
      </c>
      <c r="G181">
        <v>4</v>
      </c>
      <c r="H181">
        <v>22580.6</v>
      </c>
      <c r="I181">
        <v>0.2</v>
      </c>
      <c r="J181">
        <v>60193.2</v>
      </c>
      <c r="K181">
        <v>72257.919999999998</v>
      </c>
      <c r="L181">
        <v>12064.72</v>
      </c>
      <c r="M181" t="s">
        <v>28</v>
      </c>
    </row>
    <row r="182" spans="1:13" x14ac:dyDescent="0.3">
      <c r="A182" t="s">
        <v>295</v>
      </c>
      <c r="B182" s="1">
        <v>45753</v>
      </c>
      <c r="C182" t="s">
        <v>296</v>
      </c>
      <c r="D182" t="s">
        <v>74</v>
      </c>
      <c r="E182" t="s">
        <v>35</v>
      </c>
      <c r="F182" t="s">
        <v>17</v>
      </c>
      <c r="G182">
        <v>1</v>
      </c>
      <c r="H182">
        <v>6591.86</v>
      </c>
      <c r="I182">
        <v>0.2</v>
      </c>
      <c r="J182">
        <v>4148.33</v>
      </c>
      <c r="K182">
        <v>5273.49</v>
      </c>
      <c r="L182">
        <v>1125.1600000000001</v>
      </c>
      <c r="M182" t="s">
        <v>28</v>
      </c>
    </row>
    <row r="183" spans="1:13" x14ac:dyDescent="0.3">
      <c r="A183" t="s">
        <v>297</v>
      </c>
      <c r="B183" s="1">
        <v>45941</v>
      </c>
      <c r="C183" t="s">
        <v>145</v>
      </c>
      <c r="D183" t="s">
        <v>15</v>
      </c>
      <c r="E183" t="s">
        <v>16</v>
      </c>
      <c r="F183" t="s">
        <v>27</v>
      </c>
      <c r="G183">
        <v>5</v>
      </c>
      <c r="H183">
        <v>24148.66</v>
      </c>
      <c r="I183">
        <v>0.2</v>
      </c>
      <c r="J183">
        <v>74451.5</v>
      </c>
      <c r="K183">
        <v>96594.64</v>
      </c>
      <c r="L183">
        <v>22143.14</v>
      </c>
      <c r="M183" t="s">
        <v>18</v>
      </c>
    </row>
    <row r="184" spans="1:13" x14ac:dyDescent="0.3">
      <c r="A184" t="s">
        <v>298</v>
      </c>
      <c r="B184" s="1">
        <v>45692</v>
      </c>
      <c r="C184" t="s">
        <v>257</v>
      </c>
      <c r="D184" t="s">
        <v>21</v>
      </c>
      <c r="E184" t="s">
        <v>16</v>
      </c>
      <c r="F184" t="s">
        <v>22</v>
      </c>
      <c r="G184">
        <v>4</v>
      </c>
      <c r="H184">
        <v>49678.66</v>
      </c>
      <c r="I184">
        <v>0.1</v>
      </c>
      <c r="J184">
        <v>134950.76</v>
      </c>
      <c r="K184">
        <v>178843.18</v>
      </c>
      <c r="L184">
        <v>43892.42</v>
      </c>
      <c r="M184" t="s">
        <v>36</v>
      </c>
    </row>
    <row r="185" spans="1:13" x14ac:dyDescent="0.3">
      <c r="A185" t="s">
        <v>299</v>
      </c>
      <c r="B185" s="1">
        <v>45987</v>
      </c>
      <c r="C185" t="s">
        <v>300</v>
      </c>
      <c r="D185" t="s">
        <v>58</v>
      </c>
      <c r="E185" t="s">
        <v>40</v>
      </c>
      <c r="F185" t="s">
        <v>27</v>
      </c>
      <c r="G185">
        <v>3</v>
      </c>
      <c r="H185">
        <v>4541.41</v>
      </c>
      <c r="I185">
        <v>0.05</v>
      </c>
      <c r="J185">
        <v>7574.64</v>
      </c>
      <c r="K185">
        <v>12943.02</v>
      </c>
      <c r="L185">
        <v>5368.38</v>
      </c>
      <c r="M185" t="s">
        <v>18</v>
      </c>
    </row>
    <row r="186" spans="1:13" x14ac:dyDescent="0.3">
      <c r="A186" t="s">
        <v>301</v>
      </c>
      <c r="B186" s="1">
        <v>45676</v>
      </c>
      <c r="C186" t="s">
        <v>123</v>
      </c>
      <c r="D186" t="s">
        <v>45</v>
      </c>
      <c r="E186" t="s">
        <v>16</v>
      </c>
      <c r="F186" t="s">
        <v>22</v>
      </c>
      <c r="G186">
        <v>2</v>
      </c>
      <c r="H186">
        <v>2721.8</v>
      </c>
      <c r="I186">
        <v>0</v>
      </c>
      <c r="J186">
        <v>3645.06</v>
      </c>
      <c r="K186">
        <v>5443.6</v>
      </c>
      <c r="L186">
        <v>1798.54</v>
      </c>
      <c r="M186" t="s">
        <v>36</v>
      </c>
    </row>
    <row r="187" spans="1:13" x14ac:dyDescent="0.3">
      <c r="A187" t="s">
        <v>302</v>
      </c>
      <c r="B187" s="1">
        <v>45936</v>
      </c>
      <c r="C187" t="s">
        <v>291</v>
      </c>
      <c r="D187" t="s">
        <v>25</v>
      </c>
      <c r="E187" t="s">
        <v>26</v>
      </c>
      <c r="F187" t="s">
        <v>51</v>
      </c>
      <c r="G187">
        <v>1</v>
      </c>
      <c r="H187">
        <v>1805.54</v>
      </c>
      <c r="I187">
        <v>0.1</v>
      </c>
      <c r="J187">
        <v>1410.02</v>
      </c>
      <c r="K187">
        <v>1624.99</v>
      </c>
      <c r="L187">
        <v>214.97</v>
      </c>
      <c r="M187" t="s">
        <v>36</v>
      </c>
    </row>
    <row r="188" spans="1:13" x14ac:dyDescent="0.3">
      <c r="A188" t="s">
        <v>303</v>
      </c>
      <c r="B188" s="1">
        <v>45993</v>
      </c>
      <c r="C188" t="s">
        <v>121</v>
      </c>
      <c r="D188" t="s">
        <v>25</v>
      </c>
      <c r="E188" t="s">
        <v>26</v>
      </c>
      <c r="F188" t="s">
        <v>51</v>
      </c>
      <c r="G188">
        <v>3</v>
      </c>
      <c r="H188">
        <v>1637.21</v>
      </c>
      <c r="I188">
        <v>0.1</v>
      </c>
      <c r="J188">
        <v>4133.88</v>
      </c>
      <c r="K188">
        <v>4420.47</v>
      </c>
      <c r="L188">
        <v>286.58999999999997</v>
      </c>
      <c r="M188" t="s">
        <v>36</v>
      </c>
    </row>
    <row r="189" spans="1:13" x14ac:dyDescent="0.3">
      <c r="A189" t="s">
        <v>304</v>
      </c>
      <c r="B189" s="1">
        <v>45855</v>
      </c>
      <c r="C189" t="s">
        <v>160</v>
      </c>
      <c r="D189" t="s">
        <v>34</v>
      </c>
      <c r="E189" t="s">
        <v>35</v>
      </c>
      <c r="F189" t="s">
        <v>22</v>
      </c>
      <c r="G189">
        <v>4</v>
      </c>
      <c r="H189">
        <v>9170.8799999999992</v>
      </c>
      <c r="I189">
        <v>0.15</v>
      </c>
      <c r="J189">
        <v>25018.12</v>
      </c>
      <c r="K189">
        <v>31180.99</v>
      </c>
      <c r="L189">
        <v>6162.87</v>
      </c>
      <c r="M189" t="s">
        <v>18</v>
      </c>
    </row>
    <row r="190" spans="1:13" x14ac:dyDescent="0.3">
      <c r="A190" t="s">
        <v>305</v>
      </c>
      <c r="B190" s="1">
        <v>45875</v>
      </c>
      <c r="C190" t="s">
        <v>142</v>
      </c>
      <c r="D190" t="s">
        <v>54</v>
      </c>
      <c r="E190" t="s">
        <v>55</v>
      </c>
      <c r="F190" t="s">
        <v>27</v>
      </c>
      <c r="G190">
        <v>3</v>
      </c>
      <c r="H190">
        <v>1649.74</v>
      </c>
      <c r="I190">
        <v>0.2</v>
      </c>
      <c r="J190">
        <v>3330.06</v>
      </c>
      <c r="K190">
        <v>3959.38</v>
      </c>
      <c r="L190">
        <v>629.32000000000005</v>
      </c>
      <c r="M190" t="s">
        <v>46</v>
      </c>
    </row>
    <row r="191" spans="1:13" x14ac:dyDescent="0.3">
      <c r="A191" t="s">
        <v>306</v>
      </c>
      <c r="B191" s="1">
        <v>45809</v>
      </c>
      <c r="C191" t="s">
        <v>307</v>
      </c>
      <c r="D191" t="s">
        <v>39</v>
      </c>
      <c r="E191" t="s">
        <v>40</v>
      </c>
      <c r="F191" t="s">
        <v>27</v>
      </c>
      <c r="G191">
        <v>3</v>
      </c>
      <c r="H191">
        <v>3089.87</v>
      </c>
      <c r="I191">
        <v>0.1</v>
      </c>
      <c r="J191">
        <v>5526.24</v>
      </c>
      <c r="K191">
        <v>8342.65</v>
      </c>
      <c r="L191">
        <v>2816.41</v>
      </c>
      <c r="M191" t="s">
        <v>18</v>
      </c>
    </row>
    <row r="192" spans="1:13" x14ac:dyDescent="0.3">
      <c r="A192" t="s">
        <v>308</v>
      </c>
      <c r="B192" s="1">
        <v>45838</v>
      </c>
      <c r="C192" t="s">
        <v>131</v>
      </c>
      <c r="D192" t="s">
        <v>45</v>
      </c>
      <c r="E192" t="s">
        <v>16</v>
      </c>
      <c r="F192" t="s">
        <v>27</v>
      </c>
      <c r="G192">
        <v>4</v>
      </c>
      <c r="H192">
        <v>2613.41</v>
      </c>
      <c r="I192">
        <v>0.1</v>
      </c>
      <c r="J192">
        <v>6617.84</v>
      </c>
      <c r="K192">
        <v>9408.2800000000007</v>
      </c>
      <c r="L192">
        <v>2790.44</v>
      </c>
      <c r="M192" t="s">
        <v>28</v>
      </c>
    </row>
    <row r="193" spans="1:13" x14ac:dyDescent="0.3">
      <c r="A193" t="s">
        <v>309</v>
      </c>
      <c r="B193" s="1">
        <v>46005</v>
      </c>
      <c r="C193" t="s">
        <v>193</v>
      </c>
      <c r="D193" t="s">
        <v>21</v>
      </c>
      <c r="E193" t="s">
        <v>16</v>
      </c>
      <c r="F193" t="s">
        <v>17</v>
      </c>
      <c r="G193">
        <v>1</v>
      </c>
      <c r="H193">
        <v>58312.06</v>
      </c>
      <c r="I193">
        <v>0.15</v>
      </c>
      <c r="J193">
        <v>35245.53</v>
      </c>
      <c r="K193">
        <v>49565.25</v>
      </c>
      <c r="L193">
        <v>14319.72</v>
      </c>
      <c r="M193" t="s">
        <v>46</v>
      </c>
    </row>
    <row r="194" spans="1:13" x14ac:dyDescent="0.3">
      <c r="A194" t="s">
        <v>310</v>
      </c>
      <c r="B194" s="1">
        <v>45988</v>
      </c>
      <c r="C194" t="s">
        <v>106</v>
      </c>
      <c r="D194" t="s">
        <v>58</v>
      </c>
      <c r="E194" t="s">
        <v>40</v>
      </c>
      <c r="F194" t="s">
        <v>51</v>
      </c>
      <c r="G194">
        <v>4</v>
      </c>
      <c r="H194">
        <v>4262.3999999999996</v>
      </c>
      <c r="I194">
        <v>0</v>
      </c>
      <c r="J194">
        <v>10468.040000000001</v>
      </c>
      <c r="K194">
        <v>17049.599999999999</v>
      </c>
      <c r="L194">
        <v>6581.56</v>
      </c>
      <c r="M194" t="s">
        <v>18</v>
      </c>
    </row>
    <row r="195" spans="1:13" x14ac:dyDescent="0.3">
      <c r="A195" t="s">
        <v>311</v>
      </c>
      <c r="B195" s="1">
        <v>45847</v>
      </c>
      <c r="C195" t="s">
        <v>233</v>
      </c>
      <c r="D195" t="s">
        <v>58</v>
      </c>
      <c r="E195" t="s">
        <v>40</v>
      </c>
      <c r="F195" t="s">
        <v>27</v>
      </c>
      <c r="G195">
        <v>1</v>
      </c>
      <c r="H195">
        <v>4454.93</v>
      </c>
      <c r="I195">
        <v>0.2</v>
      </c>
      <c r="J195">
        <v>2647.62</v>
      </c>
      <c r="K195">
        <v>3563.94</v>
      </c>
      <c r="L195">
        <v>916.32</v>
      </c>
      <c r="M195" t="s">
        <v>36</v>
      </c>
    </row>
    <row r="196" spans="1:13" x14ac:dyDescent="0.3">
      <c r="A196" t="s">
        <v>312</v>
      </c>
      <c r="B196" s="1">
        <v>45800</v>
      </c>
      <c r="C196" t="s">
        <v>133</v>
      </c>
      <c r="D196" t="s">
        <v>58</v>
      </c>
      <c r="E196" t="s">
        <v>40</v>
      </c>
      <c r="F196" t="s">
        <v>17</v>
      </c>
      <c r="G196">
        <v>2</v>
      </c>
      <c r="H196">
        <v>4332.95</v>
      </c>
      <c r="I196">
        <v>0.2</v>
      </c>
      <c r="J196">
        <v>5775.64</v>
      </c>
      <c r="K196">
        <v>6932.72</v>
      </c>
      <c r="L196">
        <v>1157.08</v>
      </c>
      <c r="M196" t="s">
        <v>36</v>
      </c>
    </row>
    <row r="197" spans="1:13" x14ac:dyDescent="0.3">
      <c r="A197" t="s">
        <v>313</v>
      </c>
      <c r="B197" s="1">
        <v>45792</v>
      </c>
      <c r="C197" t="s">
        <v>155</v>
      </c>
      <c r="D197" t="s">
        <v>45</v>
      </c>
      <c r="E197" t="s">
        <v>16</v>
      </c>
      <c r="F197" t="s">
        <v>51</v>
      </c>
      <c r="G197">
        <v>4</v>
      </c>
      <c r="H197">
        <v>2530.84</v>
      </c>
      <c r="I197">
        <v>0.2</v>
      </c>
      <c r="J197">
        <v>6467.48</v>
      </c>
      <c r="K197">
        <v>8098.69</v>
      </c>
      <c r="L197">
        <v>1631.21</v>
      </c>
      <c r="M197" t="s">
        <v>18</v>
      </c>
    </row>
    <row r="198" spans="1:13" x14ac:dyDescent="0.3">
      <c r="A198" t="s">
        <v>314</v>
      </c>
      <c r="B198" s="1">
        <v>45760</v>
      </c>
      <c r="C198" t="s">
        <v>33</v>
      </c>
      <c r="D198" t="s">
        <v>25</v>
      </c>
      <c r="E198" t="s">
        <v>26</v>
      </c>
      <c r="F198" t="s">
        <v>22</v>
      </c>
      <c r="G198">
        <v>5</v>
      </c>
      <c r="H198">
        <v>1979.51</v>
      </c>
      <c r="I198">
        <v>0.1</v>
      </c>
      <c r="J198">
        <v>6511.45</v>
      </c>
      <c r="K198">
        <v>8907.7999999999993</v>
      </c>
      <c r="L198">
        <v>2396.35</v>
      </c>
      <c r="M198" t="s">
        <v>36</v>
      </c>
    </row>
    <row r="199" spans="1:13" x14ac:dyDescent="0.3">
      <c r="A199" t="s">
        <v>315</v>
      </c>
      <c r="B199" s="1">
        <v>45821</v>
      </c>
      <c r="C199" t="s">
        <v>296</v>
      </c>
      <c r="D199" t="s">
        <v>54</v>
      </c>
      <c r="E199" t="s">
        <v>55</v>
      </c>
      <c r="F199" t="s">
        <v>51</v>
      </c>
      <c r="G199">
        <v>2</v>
      </c>
      <c r="H199">
        <v>1911.78</v>
      </c>
      <c r="I199">
        <v>0.15</v>
      </c>
      <c r="J199">
        <v>2877.54</v>
      </c>
      <c r="K199">
        <v>3250.03</v>
      </c>
      <c r="L199">
        <v>372.49</v>
      </c>
      <c r="M199" t="s">
        <v>36</v>
      </c>
    </row>
    <row r="200" spans="1:13" x14ac:dyDescent="0.3">
      <c r="A200" t="s">
        <v>316</v>
      </c>
      <c r="B200" s="1">
        <v>46022</v>
      </c>
      <c r="C200" t="s">
        <v>38</v>
      </c>
      <c r="D200" t="s">
        <v>39</v>
      </c>
      <c r="E200" t="s">
        <v>40</v>
      </c>
      <c r="F200" t="s">
        <v>22</v>
      </c>
      <c r="G200">
        <v>5</v>
      </c>
      <c r="H200">
        <v>3424.87</v>
      </c>
      <c r="I200">
        <v>0.1</v>
      </c>
      <c r="J200">
        <v>12365.35</v>
      </c>
      <c r="K200">
        <v>15411.91</v>
      </c>
      <c r="L200">
        <v>3046.56</v>
      </c>
      <c r="M200" t="s">
        <v>28</v>
      </c>
    </row>
    <row r="201" spans="1:13" x14ac:dyDescent="0.3">
      <c r="A201" t="s">
        <v>317</v>
      </c>
      <c r="B201" s="1">
        <v>45779</v>
      </c>
      <c r="C201" t="s">
        <v>57</v>
      </c>
      <c r="D201" t="s">
        <v>39</v>
      </c>
      <c r="E201" t="s">
        <v>40</v>
      </c>
      <c r="F201" t="s">
        <v>17</v>
      </c>
      <c r="G201">
        <v>2</v>
      </c>
      <c r="H201">
        <v>3386.92</v>
      </c>
      <c r="I201">
        <v>0</v>
      </c>
      <c r="J201">
        <v>5096.22</v>
      </c>
      <c r="K201">
        <v>6773.84</v>
      </c>
      <c r="L201">
        <v>1677.62</v>
      </c>
      <c r="M201" t="s">
        <v>28</v>
      </c>
    </row>
    <row r="202" spans="1:13" x14ac:dyDescent="0.3">
      <c r="A202" t="s">
        <v>318</v>
      </c>
      <c r="B202" s="1">
        <v>45724</v>
      </c>
      <c r="C202" t="s">
        <v>131</v>
      </c>
      <c r="D202" t="s">
        <v>39</v>
      </c>
      <c r="E202" t="s">
        <v>40</v>
      </c>
      <c r="F202" t="s">
        <v>17</v>
      </c>
      <c r="G202">
        <v>5</v>
      </c>
      <c r="H202">
        <v>3509.13</v>
      </c>
      <c r="I202">
        <v>0.1</v>
      </c>
      <c r="J202">
        <v>10669.6</v>
      </c>
      <c r="K202">
        <v>15791.09</v>
      </c>
      <c r="L202">
        <v>5121.49</v>
      </c>
      <c r="M202" t="s">
        <v>36</v>
      </c>
    </row>
    <row r="203" spans="1:13" x14ac:dyDescent="0.3">
      <c r="A203" t="s">
        <v>319</v>
      </c>
      <c r="B203" s="1">
        <v>45952</v>
      </c>
      <c r="C203" t="s">
        <v>104</v>
      </c>
      <c r="D203" t="s">
        <v>31</v>
      </c>
      <c r="E203" t="s">
        <v>26</v>
      </c>
      <c r="F203" t="s">
        <v>22</v>
      </c>
      <c r="G203">
        <v>4</v>
      </c>
      <c r="H203">
        <v>948.45</v>
      </c>
      <c r="I203">
        <v>0.15</v>
      </c>
      <c r="J203">
        <v>2453.12</v>
      </c>
      <c r="K203">
        <v>3224.73</v>
      </c>
      <c r="L203">
        <v>771.61</v>
      </c>
      <c r="M203" t="s">
        <v>28</v>
      </c>
    </row>
    <row r="204" spans="1:13" x14ac:dyDescent="0.3">
      <c r="A204" t="s">
        <v>320</v>
      </c>
      <c r="B204" s="1">
        <v>45940</v>
      </c>
      <c r="C204" t="s">
        <v>321</v>
      </c>
      <c r="D204" t="s">
        <v>15</v>
      </c>
      <c r="E204" t="s">
        <v>16</v>
      </c>
      <c r="F204" t="s">
        <v>22</v>
      </c>
      <c r="G204">
        <v>4</v>
      </c>
      <c r="H204">
        <v>21315.87</v>
      </c>
      <c r="I204">
        <v>0.15</v>
      </c>
      <c r="J204">
        <v>63362.400000000001</v>
      </c>
      <c r="K204">
        <v>72473.960000000006</v>
      </c>
      <c r="L204">
        <v>9111.56</v>
      </c>
      <c r="M204" t="s">
        <v>46</v>
      </c>
    </row>
    <row r="205" spans="1:13" x14ac:dyDescent="0.3">
      <c r="A205" t="s">
        <v>322</v>
      </c>
      <c r="B205" s="1">
        <v>45813</v>
      </c>
      <c r="C205" t="s">
        <v>323</v>
      </c>
      <c r="D205" t="s">
        <v>74</v>
      </c>
      <c r="E205" t="s">
        <v>35</v>
      </c>
      <c r="F205" t="s">
        <v>22</v>
      </c>
      <c r="G205">
        <v>5</v>
      </c>
      <c r="H205">
        <v>6523.53</v>
      </c>
      <c r="I205">
        <v>0</v>
      </c>
      <c r="J205">
        <v>24630.05</v>
      </c>
      <c r="K205">
        <v>32617.65</v>
      </c>
      <c r="L205">
        <v>7987.6</v>
      </c>
      <c r="M205" t="s">
        <v>28</v>
      </c>
    </row>
    <row r="206" spans="1:13" x14ac:dyDescent="0.3">
      <c r="A206" t="s">
        <v>324</v>
      </c>
      <c r="B206" s="1">
        <v>45786</v>
      </c>
      <c r="C206" t="s">
        <v>112</v>
      </c>
      <c r="D206" t="s">
        <v>25</v>
      </c>
      <c r="E206" t="s">
        <v>26</v>
      </c>
      <c r="F206" t="s">
        <v>51</v>
      </c>
      <c r="G206">
        <v>3</v>
      </c>
      <c r="H206">
        <v>1924.54</v>
      </c>
      <c r="I206">
        <v>0.2</v>
      </c>
      <c r="J206">
        <v>4178.16</v>
      </c>
      <c r="K206">
        <v>4618.8999999999996</v>
      </c>
      <c r="L206">
        <v>440.74</v>
      </c>
      <c r="M206" t="s">
        <v>46</v>
      </c>
    </row>
    <row r="207" spans="1:13" x14ac:dyDescent="0.3">
      <c r="A207" t="s">
        <v>325</v>
      </c>
      <c r="B207" s="1">
        <v>45961</v>
      </c>
      <c r="C207" t="s">
        <v>326</v>
      </c>
      <c r="D207" t="s">
        <v>31</v>
      </c>
      <c r="E207" t="s">
        <v>26</v>
      </c>
      <c r="F207" t="s">
        <v>22</v>
      </c>
      <c r="G207">
        <v>5</v>
      </c>
      <c r="H207">
        <v>925.38</v>
      </c>
      <c r="I207">
        <v>0.2</v>
      </c>
      <c r="J207">
        <v>2580.1</v>
      </c>
      <c r="K207">
        <v>3701.52</v>
      </c>
      <c r="L207">
        <v>1121.42</v>
      </c>
      <c r="M207" t="s">
        <v>46</v>
      </c>
    </row>
    <row r="208" spans="1:13" x14ac:dyDescent="0.3">
      <c r="A208" t="s">
        <v>327</v>
      </c>
      <c r="B208" s="1">
        <v>45672</v>
      </c>
      <c r="C208" t="s">
        <v>142</v>
      </c>
      <c r="D208" t="s">
        <v>58</v>
      </c>
      <c r="E208" t="s">
        <v>40</v>
      </c>
      <c r="F208" t="s">
        <v>17</v>
      </c>
      <c r="G208">
        <v>5</v>
      </c>
      <c r="H208">
        <v>4557.26</v>
      </c>
      <c r="I208">
        <v>0.1</v>
      </c>
      <c r="J208">
        <v>17114.25</v>
      </c>
      <c r="K208">
        <v>20507.669999999998</v>
      </c>
      <c r="L208">
        <v>3393.42</v>
      </c>
      <c r="M208" t="s">
        <v>28</v>
      </c>
    </row>
    <row r="209" spans="1:13" x14ac:dyDescent="0.3">
      <c r="A209" t="s">
        <v>328</v>
      </c>
      <c r="B209" s="1">
        <v>45979</v>
      </c>
      <c r="C209" t="s">
        <v>66</v>
      </c>
      <c r="D209" t="s">
        <v>25</v>
      </c>
      <c r="E209" t="s">
        <v>26</v>
      </c>
      <c r="F209" t="s">
        <v>51</v>
      </c>
      <c r="G209">
        <v>5</v>
      </c>
      <c r="H209">
        <v>1630.9</v>
      </c>
      <c r="I209">
        <v>0.15</v>
      </c>
      <c r="J209">
        <v>6340.75</v>
      </c>
      <c r="K209">
        <v>6931.32</v>
      </c>
      <c r="L209">
        <v>590.57000000000005</v>
      </c>
      <c r="M209" t="s">
        <v>28</v>
      </c>
    </row>
    <row r="210" spans="1:13" x14ac:dyDescent="0.3">
      <c r="A210" t="s">
        <v>329</v>
      </c>
      <c r="B210" s="1">
        <v>45688</v>
      </c>
      <c r="C210" t="s">
        <v>193</v>
      </c>
      <c r="D210" t="s">
        <v>54</v>
      </c>
      <c r="E210" t="s">
        <v>55</v>
      </c>
      <c r="F210" t="s">
        <v>27</v>
      </c>
      <c r="G210">
        <v>2</v>
      </c>
      <c r="H210">
        <v>1646.27</v>
      </c>
      <c r="I210">
        <v>0.15</v>
      </c>
      <c r="J210">
        <v>2247.6999999999998</v>
      </c>
      <c r="K210">
        <v>2798.66</v>
      </c>
      <c r="L210">
        <v>550.96</v>
      </c>
      <c r="M210" t="s">
        <v>18</v>
      </c>
    </row>
    <row r="211" spans="1:13" x14ac:dyDescent="0.3">
      <c r="A211" t="s">
        <v>330</v>
      </c>
      <c r="B211" s="1">
        <v>45821</v>
      </c>
      <c r="C211" t="s">
        <v>117</v>
      </c>
      <c r="D211" t="s">
        <v>54</v>
      </c>
      <c r="E211" t="s">
        <v>55</v>
      </c>
      <c r="F211" t="s">
        <v>51</v>
      </c>
      <c r="G211">
        <v>4</v>
      </c>
      <c r="H211">
        <v>1671.72</v>
      </c>
      <c r="I211">
        <v>0.05</v>
      </c>
      <c r="J211">
        <v>4572.3599999999997</v>
      </c>
      <c r="K211">
        <v>6352.54</v>
      </c>
      <c r="L211">
        <v>1780.18</v>
      </c>
      <c r="M211" t="s">
        <v>18</v>
      </c>
    </row>
    <row r="212" spans="1:13" x14ac:dyDescent="0.3">
      <c r="A212" t="s">
        <v>331</v>
      </c>
      <c r="B212" s="1">
        <v>45896</v>
      </c>
      <c r="C212" t="s">
        <v>33</v>
      </c>
      <c r="D212" t="s">
        <v>45</v>
      </c>
      <c r="E212" t="s">
        <v>16</v>
      </c>
      <c r="F212" t="s">
        <v>51</v>
      </c>
      <c r="G212">
        <v>3</v>
      </c>
      <c r="H212">
        <v>2409.56</v>
      </c>
      <c r="I212">
        <v>0.2</v>
      </c>
      <c r="J212">
        <v>5178.09</v>
      </c>
      <c r="K212">
        <v>5782.94</v>
      </c>
      <c r="L212">
        <v>604.85</v>
      </c>
      <c r="M212" t="s">
        <v>18</v>
      </c>
    </row>
    <row r="213" spans="1:13" x14ac:dyDescent="0.3">
      <c r="A213" t="s">
        <v>332</v>
      </c>
      <c r="B213" s="1">
        <v>45973</v>
      </c>
      <c r="C213" t="s">
        <v>245</v>
      </c>
      <c r="D213" t="s">
        <v>25</v>
      </c>
      <c r="E213" t="s">
        <v>26</v>
      </c>
      <c r="F213" t="s">
        <v>22</v>
      </c>
      <c r="G213">
        <v>2</v>
      </c>
      <c r="H213">
        <v>1960.34</v>
      </c>
      <c r="I213">
        <v>0</v>
      </c>
      <c r="J213">
        <v>2025.54</v>
      </c>
      <c r="K213">
        <v>3920.68</v>
      </c>
      <c r="L213">
        <v>1895.14</v>
      </c>
      <c r="M213" t="s">
        <v>46</v>
      </c>
    </row>
    <row r="214" spans="1:13" x14ac:dyDescent="0.3">
      <c r="A214" t="s">
        <v>333</v>
      </c>
      <c r="B214" s="1">
        <v>45921</v>
      </c>
      <c r="C214" t="s">
        <v>135</v>
      </c>
      <c r="D214" t="s">
        <v>34</v>
      </c>
      <c r="E214" t="s">
        <v>35</v>
      </c>
      <c r="F214" t="s">
        <v>27</v>
      </c>
      <c r="G214">
        <v>5</v>
      </c>
      <c r="H214">
        <v>7920.88</v>
      </c>
      <c r="I214">
        <v>0.1</v>
      </c>
      <c r="J214">
        <v>25392</v>
      </c>
      <c r="K214">
        <v>35643.96</v>
      </c>
      <c r="L214">
        <v>10251.959999999999</v>
      </c>
      <c r="M214" t="s">
        <v>28</v>
      </c>
    </row>
    <row r="215" spans="1:13" x14ac:dyDescent="0.3">
      <c r="A215" t="s">
        <v>334</v>
      </c>
      <c r="B215" s="1">
        <v>45781</v>
      </c>
      <c r="C215" t="s">
        <v>50</v>
      </c>
      <c r="D215" t="s">
        <v>54</v>
      </c>
      <c r="E215" t="s">
        <v>55</v>
      </c>
      <c r="F215" t="s">
        <v>51</v>
      </c>
      <c r="G215">
        <v>1</v>
      </c>
      <c r="H215">
        <v>1801.96</v>
      </c>
      <c r="I215">
        <v>0</v>
      </c>
      <c r="J215">
        <v>1415.35</v>
      </c>
      <c r="K215">
        <v>1801.96</v>
      </c>
      <c r="L215">
        <v>386.61</v>
      </c>
      <c r="M215" t="s">
        <v>36</v>
      </c>
    </row>
    <row r="216" spans="1:13" x14ac:dyDescent="0.3">
      <c r="A216" t="s">
        <v>335</v>
      </c>
      <c r="B216" s="1">
        <v>46002</v>
      </c>
      <c r="C216" t="s">
        <v>291</v>
      </c>
      <c r="D216" t="s">
        <v>21</v>
      </c>
      <c r="E216" t="s">
        <v>16</v>
      </c>
      <c r="F216" t="s">
        <v>51</v>
      </c>
      <c r="G216">
        <v>3</v>
      </c>
      <c r="H216">
        <v>58771.35</v>
      </c>
      <c r="I216">
        <v>0.15</v>
      </c>
      <c r="J216">
        <v>115397.64</v>
      </c>
      <c r="K216">
        <v>149866.94</v>
      </c>
      <c r="L216">
        <v>34469.300000000003</v>
      </c>
      <c r="M216" t="s">
        <v>36</v>
      </c>
    </row>
    <row r="217" spans="1:13" x14ac:dyDescent="0.3">
      <c r="A217" t="s">
        <v>336</v>
      </c>
      <c r="B217" s="1">
        <v>45864</v>
      </c>
      <c r="C217" t="s">
        <v>106</v>
      </c>
      <c r="D217" t="s">
        <v>15</v>
      </c>
      <c r="E217" t="s">
        <v>16</v>
      </c>
      <c r="F217" t="s">
        <v>17</v>
      </c>
      <c r="G217">
        <v>4</v>
      </c>
      <c r="H217">
        <v>23001.040000000001</v>
      </c>
      <c r="I217">
        <v>0.05</v>
      </c>
      <c r="J217">
        <v>67814.039999999994</v>
      </c>
      <c r="K217">
        <v>87403.95</v>
      </c>
      <c r="L217">
        <v>19589.91</v>
      </c>
      <c r="M217" t="s">
        <v>18</v>
      </c>
    </row>
    <row r="218" spans="1:13" x14ac:dyDescent="0.3">
      <c r="A218" t="s">
        <v>337</v>
      </c>
      <c r="B218" s="1">
        <v>45695</v>
      </c>
      <c r="C218" t="s">
        <v>60</v>
      </c>
      <c r="D218" t="s">
        <v>21</v>
      </c>
      <c r="E218" t="s">
        <v>16</v>
      </c>
      <c r="F218" t="s">
        <v>27</v>
      </c>
      <c r="G218">
        <v>5</v>
      </c>
      <c r="H218">
        <v>55585.45</v>
      </c>
      <c r="I218">
        <v>0.2</v>
      </c>
      <c r="J218">
        <v>164632.54999999999</v>
      </c>
      <c r="K218">
        <v>222341.8</v>
      </c>
      <c r="L218">
        <v>57709.25</v>
      </c>
      <c r="M218" t="s">
        <v>28</v>
      </c>
    </row>
    <row r="219" spans="1:13" x14ac:dyDescent="0.3">
      <c r="A219" t="s">
        <v>338</v>
      </c>
      <c r="B219" s="1">
        <v>45849</v>
      </c>
      <c r="C219" t="s">
        <v>160</v>
      </c>
      <c r="D219" t="s">
        <v>58</v>
      </c>
      <c r="E219" t="s">
        <v>40</v>
      </c>
      <c r="F219" t="s">
        <v>51</v>
      </c>
      <c r="G219">
        <v>5</v>
      </c>
      <c r="H219">
        <v>4137.01</v>
      </c>
      <c r="I219">
        <v>0</v>
      </c>
      <c r="J219">
        <v>13098.75</v>
      </c>
      <c r="K219">
        <v>20685.05</v>
      </c>
      <c r="L219">
        <v>7586.3</v>
      </c>
      <c r="M219" t="s">
        <v>46</v>
      </c>
    </row>
    <row r="220" spans="1:13" x14ac:dyDescent="0.3">
      <c r="A220" t="s">
        <v>339</v>
      </c>
      <c r="B220" s="1">
        <v>45677</v>
      </c>
      <c r="C220" t="s">
        <v>82</v>
      </c>
      <c r="D220" t="s">
        <v>25</v>
      </c>
      <c r="E220" t="s">
        <v>26</v>
      </c>
      <c r="F220" t="s">
        <v>51</v>
      </c>
      <c r="G220">
        <v>5</v>
      </c>
      <c r="H220">
        <v>1634.49</v>
      </c>
      <c r="I220">
        <v>0.2</v>
      </c>
      <c r="J220">
        <v>5853.1</v>
      </c>
      <c r="K220">
        <v>6537.96</v>
      </c>
      <c r="L220">
        <v>684.86</v>
      </c>
      <c r="M220" t="s">
        <v>18</v>
      </c>
    </row>
    <row r="221" spans="1:13" x14ac:dyDescent="0.3">
      <c r="A221" t="s">
        <v>340</v>
      </c>
      <c r="B221" s="1">
        <v>45825</v>
      </c>
      <c r="C221" t="s">
        <v>131</v>
      </c>
      <c r="D221" t="s">
        <v>39</v>
      </c>
      <c r="E221" t="s">
        <v>40</v>
      </c>
      <c r="F221" t="s">
        <v>51</v>
      </c>
      <c r="G221">
        <v>4</v>
      </c>
      <c r="H221">
        <v>3209.92</v>
      </c>
      <c r="I221">
        <v>0.05</v>
      </c>
      <c r="J221">
        <v>8980.0400000000009</v>
      </c>
      <c r="K221">
        <v>12197.7</v>
      </c>
      <c r="L221">
        <v>3217.66</v>
      </c>
      <c r="M221" t="s">
        <v>46</v>
      </c>
    </row>
    <row r="222" spans="1:13" x14ac:dyDescent="0.3">
      <c r="A222" t="s">
        <v>341</v>
      </c>
      <c r="B222" s="1">
        <v>45918</v>
      </c>
      <c r="C222" t="s">
        <v>53</v>
      </c>
      <c r="D222" t="s">
        <v>74</v>
      </c>
      <c r="E222" t="s">
        <v>35</v>
      </c>
      <c r="F222" t="s">
        <v>27</v>
      </c>
      <c r="G222">
        <v>5</v>
      </c>
      <c r="H222">
        <v>6509.51</v>
      </c>
      <c r="I222">
        <v>0.1</v>
      </c>
      <c r="J222">
        <v>22699</v>
      </c>
      <c r="K222">
        <v>29292.799999999999</v>
      </c>
      <c r="L222">
        <v>6593.8</v>
      </c>
      <c r="M222" t="s">
        <v>28</v>
      </c>
    </row>
    <row r="223" spans="1:13" x14ac:dyDescent="0.3">
      <c r="A223" t="s">
        <v>342</v>
      </c>
      <c r="B223" s="1">
        <v>45871</v>
      </c>
      <c r="C223" t="s">
        <v>326</v>
      </c>
      <c r="D223" t="s">
        <v>54</v>
      </c>
      <c r="E223" t="s">
        <v>55</v>
      </c>
      <c r="F223" t="s">
        <v>51</v>
      </c>
      <c r="G223">
        <v>1</v>
      </c>
      <c r="H223">
        <v>1659.46</v>
      </c>
      <c r="I223">
        <v>0.1</v>
      </c>
      <c r="J223">
        <v>1139.06</v>
      </c>
      <c r="K223">
        <v>1493.51</v>
      </c>
      <c r="L223">
        <v>354.45</v>
      </c>
      <c r="M223" t="s">
        <v>36</v>
      </c>
    </row>
    <row r="224" spans="1:13" x14ac:dyDescent="0.3">
      <c r="A224" t="s">
        <v>343</v>
      </c>
      <c r="B224" s="1">
        <v>45954</v>
      </c>
      <c r="C224" t="s">
        <v>217</v>
      </c>
      <c r="D224" t="s">
        <v>58</v>
      </c>
      <c r="E224" t="s">
        <v>40</v>
      </c>
      <c r="F224" t="s">
        <v>22</v>
      </c>
      <c r="G224">
        <v>4</v>
      </c>
      <c r="H224">
        <v>4754.6099999999997</v>
      </c>
      <c r="I224">
        <v>0.1</v>
      </c>
      <c r="J224">
        <v>14251.8</v>
      </c>
      <c r="K224">
        <v>17116.599999999999</v>
      </c>
      <c r="L224">
        <v>2864.8</v>
      </c>
      <c r="M224" t="s">
        <v>36</v>
      </c>
    </row>
    <row r="225" spans="1:13" x14ac:dyDescent="0.3">
      <c r="A225" t="s">
        <v>344</v>
      </c>
      <c r="B225" s="1">
        <v>45852</v>
      </c>
      <c r="C225" t="s">
        <v>237</v>
      </c>
      <c r="D225" t="s">
        <v>58</v>
      </c>
      <c r="E225" t="s">
        <v>40</v>
      </c>
      <c r="F225" t="s">
        <v>22</v>
      </c>
      <c r="G225">
        <v>4</v>
      </c>
      <c r="H225">
        <v>4699.0600000000004</v>
      </c>
      <c r="I225">
        <v>0.05</v>
      </c>
      <c r="J225">
        <v>12259.04</v>
      </c>
      <c r="K225">
        <v>17856.43</v>
      </c>
      <c r="L225">
        <v>5597.39</v>
      </c>
      <c r="M225" t="s">
        <v>36</v>
      </c>
    </row>
    <row r="226" spans="1:13" x14ac:dyDescent="0.3">
      <c r="A226" t="s">
        <v>345</v>
      </c>
      <c r="B226" s="1">
        <v>45735</v>
      </c>
      <c r="C226" t="s">
        <v>110</v>
      </c>
      <c r="D226" t="s">
        <v>58</v>
      </c>
      <c r="E226" t="s">
        <v>40</v>
      </c>
      <c r="F226" t="s">
        <v>22</v>
      </c>
      <c r="G226">
        <v>1</v>
      </c>
      <c r="H226">
        <v>4332.32</v>
      </c>
      <c r="I226">
        <v>0.05</v>
      </c>
      <c r="J226">
        <v>2496.3000000000002</v>
      </c>
      <c r="K226">
        <v>4115.7</v>
      </c>
      <c r="L226">
        <v>1619.4</v>
      </c>
      <c r="M226" t="s">
        <v>18</v>
      </c>
    </row>
    <row r="227" spans="1:13" x14ac:dyDescent="0.3">
      <c r="A227" t="s">
        <v>346</v>
      </c>
      <c r="B227" s="1">
        <v>45689</v>
      </c>
      <c r="C227" t="s">
        <v>38</v>
      </c>
      <c r="D227" t="s">
        <v>39</v>
      </c>
      <c r="E227" t="s">
        <v>40</v>
      </c>
      <c r="F227" t="s">
        <v>22</v>
      </c>
      <c r="G227">
        <v>5</v>
      </c>
      <c r="H227">
        <v>3350.94</v>
      </c>
      <c r="I227">
        <v>0.15</v>
      </c>
      <c r="J227">
        <v>12291.25</v>
      </c>
      <c r="K227">
        <v>14241.5</v>
      </c>
      <c r="L227">
        <v>1950.25</v>
      </c>
      <c r="M227" t="s">
        <v>46</v>
      </c>
    </row>
    <row r="228" spans="1:13" x14ac:dyDescent="0.3">
      <c r="A228" t="s">
        <v>347</v>
      </c>
      <c r="B228" s="1">
        <v>45746</v>
      </c>
      <c r="C228" t="s">
        <v>348</v>
      </c>
      <c r="D228" t="s">
        <v>39</v>
      </c>
      <c r="E228" t="s">
        <v>40</v>
      </c>
      <c r="F228" t="s">
        <v>51</v>
      </c>
      <c r="G228">
        <v>3</v>
      </c>
      <c r="H228">
        <v>3080.8</v>
      </c>
      <c r="I228">
        <v>0.15</v>
      </c>
      <c r="J228">
        <v>6541.14</v>
      </c>
      <c r="K228">
        <v>7856.04</v>
      </c>
      <c r="L228">
        <v>1314.9</v>
      </c>
      <c r="M228" t="s">
        <v>28</v>
      </c>
    </row>
    <row r="229" spans="1:13" x14ac:dyDescent="0.3">
      <c r="A229" t="s">
        <v>349</v>
      </c>
      <c r="B229" s="1">
        <v>45943</v>
      </c>
      <c r="C229" t="s">
        <v>350</v>
      </c>
      <c r="D229" t="s">
        <v>31</v>
      </c>
      <c r="E229" t="s">
        <v>26</v>
      </c>
      <c r="F229" t="s">
        <v>22</v>
      </c>
      <c r="G229">
        <v>5</v>
      </c>
      <c r="H229">
        <v>854.37</v>
      </c>
      <c r="I229">
        <v>0.15</v>
      </c>
      <c r="J229">
        <v>2691.3</v>
      </c>
      <c r="K229">
        <v>3631.07</v>
      </c>
      <c r="L229">
        <v>939.77</v>
      </c>
      <c r="M229" t="s">
        <v>28</v>
      </c>
    </row>
    <row r="230" spans="1:13" x14ac:dyDescent="0.3">
      <c r="A230" t="s">
        <v>351</v>
      </c>
      <c r="B230" s="1">
        <v>45798</v>
      </c>
      <c r="C230" t="s">
        <v>203</v>
      </c>
      <c r="D230" t="s">
        <v>31</v>
      </c>
      <c r="E230" t="s">
        <v>26</v>
      </c>
      <c r="F230" t="s">
        <v>17</v>
      </c>
      <c r="G230">
        <v>2</v>
      </c>
      <c r="H230">
        <v>872.78</v>
      </c>
      <c r="I230">
        <v>0.15</v>
      </c>
      <c r="J230">
        <v>1132.6600000000001</v>
      </c>
      <c r="K230">
        <v>1483.73</v>
      </c>
      <c r="L230">
        <v>351.07</v>
      </c>
      <c r="M230" t="s">
        <v>18</v>
      </c>
    </row>
    <row r="231" spans="1:13" x14ac:dyDescent="0.3">
      <c r="A231" t="s">
        <v>352</v>
      </c>
      <c r="B231" s="1">
        <v>45698</v>
      </c>
      <c r="C231" t="s">
        <v>257</v>
      </c>
      <c r="D231" t="s">
        <v>74</v>
      </c>
      <c r="E231" t="s">
        <v>35</v>
      </c>
      <c r="F231" t="s">
        <v>27</v>
      </c>
      <c r="G231">
        <v>3</v>
      </c>
      <c r="H231">
        <v>6223.92</v>
      </c>
      <c r="I231">
        <v>0.05</v>
      </c>
      <c r="J231">
        <v>12140.97</v>
      </c>
      <c r="K231">
        <v>17738.169999999998</v>
      </c>
      <c r="L231">
        <v>5597.2</v>
      </c>
      <c r="M231" t="s">
        <v>28</v>
      </c>
    </row>
    <row r="232" spans="1:13" x14ac:dyDescent="0.3">
      <c r="A232" t="s">
        <v>353</v>
      </c>
      <c r="B232" s="1">
        <v>45945</v>
      </c>
      <c r="C232" t="s">
        <v>24</v>
      </c>
      <c r="D232" t="s">
        <v>54</v>
      </c>
      <c r="E232" t="s">
        <v>55</v>
      </c>
      <c r="F232" t="s">
        <v>51</v>
      </c>
      <c r="G232">
        <v>2</v>
      </c>
      <c r="H232">
        <v>1717.61</v>
      </c>
      <c r="I232">
        <v>0.05</v>
      </c>
      <c r="J232">
        <v>2725.16</v>
      </c>
      <c r="K232">
        <v>3263.46</v>
      </c>
      <c r="L232">
        <v>538.29999999999995</v>
      </c>
      <c r="M232" t="s">
        <v>46</v>
      </c>
    </row>
    <row r="233" spans="1:13" x14ac:dyDescent="0.3">
      <c r="A233" t="s">
        <v>354</v>
      </c>
      <c r="B233" s="1">
        <v>45929</v>
      </c>
      <c r="C233" t="s">
        <v>73</v>
      </c>
      <c r="D233" t="s">
        <v>15</v>
      </c>
      <c r="E233" t="s">
        <v>16</v>
      </c>
      <c r="F233" t="s">
        <v>22</v>
      </c>
      <c r="G233">
        <v>5</v>
      </c>
      <c r="H233">
        <v>20023.37</v>
      </c>
      <c r="I233">
        <v>0.2</v>
      </c>
      <c r="J233">
        <v>67080.25</v>
      </c>
      <c r="K233">
        <v>80093.48</v>
      </c>
      <c r="L233">
        <v>13013.23</v>
      </c>
      <c r="M233" t="s">
        <v>36</v>
      </c>
    </row>
    <row r="234" spans="1:13" x14ac:dyDescent="0.3">
      <c r="A234" t="s">
        <v>355</v>
      </c>
      <c r="B234" s="1">
        <v>45728</v>
      </c>
      <c r="C234" t="s">
        <v>125</v>
      </c>
      <c r="D234" t="s">
        <v>15</v>
      </c>
      <c r="E234" t="s">
        <v>16</v>
      </c>
      <c r="F234" t="s">
        <v>22</v>
      </c>
      <c r="G234">
        <v>4</v>
      </c>
      <c r="H234">
        <v>20242.400000000001</v>
      </c>
      <c r="I234">
        <v>0.1</v>
      </c>
      <c r="J234">
        <v>64181.88</v>
      </c>
      <c r="K234">
        <v>72872.639999999999</v>
      </c>
      <c r="L234">
        <v>8690.76</v>
      </c>
      <c r="M234" t="s">
        <v>18</v>
      </c>
    </row>
    <row r="235" spans="1:13" x14ac:dyDescent="0.3">
      <c r="A235" t="s">
        <v>356</v>
      </c>
      <c r="B235" s="1">
        <v>45804</v>
      </c>
      <c r="C235" t="s">
        <v>44</v>
      </c>
      <c r="D235" t="s">
        <v>54</v>
      </c>
      <c r="E235" t="s">
        <v>55</v>
      </c>
      <c r="F235" t="s">
        <v>17</v>
      </c>
      <c r="G235">
        <v>4</v>
      </c>
      <c r="H235">
        <v>1723.41</v>
      </c>
      <c r="I235">
        <v>0.05</v>
      </c>
      <c r="J235">
        <v>5320.64</v>
      </c>
      <c r="K235">
        <v>6548.96</v>
      </c>
      <c r="L235">
        <v>1228.32</v>
      </c>
      <c r="M235" t="s">
        <v>36</v>
      </c>
    </row>
    <row r="236" spans="1:13" x14ac:dyDescent="0.3">
      <c r="A236" t="s">
        <v>357</v>
      </c>
      <c r="B236" s="1">
        <v>45677</v>
      </c>
      <c r="C236" t="s">
        <v>300</v>
      </c>
      <c r="D236" t="s">
        <v>58</v>
      </c>
      <c r="E236" t="s">
        <v>40</v>
      </c>
      <c r="F236" t="s">
        <v>27</v>
      </c>
      <c r="G236">
        <v>2</v>
      </c>
      <c r="H236">
        <v>4815.3</v>
      </c>
      <c r="I236">
        <v>0.2</v>
      </c>
      <c r="J236">
        <v>6612.04</v>
      </c>
      <c r="K236">
        <v>7704.48</v>
      </c>
      <c r="L236">
        <v>1092.44</v>
      </c>
      <c r="M236" t="s">
        <v>46</v>
      </c>
    </row>
    <row r="237" spans="1:13" x14ac:dyDescent="0.3">
      <c r="A237" t="s">
        <v>358</v>
      </c>
      <c r="B237" s="1">
        <v>45806</v>
      </c>
      <c r="C237" t="s">
        <v>231</v>
      </c>
      <c r="D237" t="s">
        <v>21</v>
      </c>
      <c r="E237" t="s">
        <v>16</v>
      </c>
      <c r="F237" t="s">
        <v>17</v>
      </c>
      <c r="G237">
        <v>4</v>
      </c>
      <c r="H237">
        <v>57739.040000000001</v>
      </c>
      <c r="I237">
        <v>0.15</v>
      </c>
      <c r="J237">
        <v>131247.12</v>
      </c>
      <c r="K237">
        <v>196312.74</v>
      </c>
      <c r="L237">
        <v>65065.62</v>
      </c>
      <c r="M237" t="s">
        <v>28</v>
      </c>
    </row>
    <row r="238" spans="1:13" x14ac:dyDescent="0.3">
      <c r="A238" t="s">
        <v>359</v>
      </c>
      <c r="B238" s="1">
        <v>45890</v>
      </c>
      <c r="C238" t="s">
        <v>44</v>
      </c>
      <c r="D238" t="s">
        <v>58</v>
      </c>
      <c r="E238" t="s">
        <v>40</v>
      </c>
      <c r="F238" t="s">
        <v>27</v>
      </c>
      <c r="G238">
        <v>5</v>
      </c>
      <c r="H238">
        <v>4351.54</v>
      </c>
      <c r="I238">
        <v>0</v>
      </c>
      <c r="J238">
        <v>17597.55</v>
      </c>
      <c r="K238">
        <v>21757.7</v>
      </c>
      <c r="L238">
        <v>4160.1499999999996</v>
      </c>
      <c r="M238" t="s">
        <v>46</v>
      </c>
    </row>
    <row r="239" spans="1:13" x14ac:dyDescent="0.3">
      <c r="A239" t="s">
        <v>360</v>
      </c>
      <c r="B239" s="1">
        <v>45741</v>
      </c>
      <c r="C239" t="s">
        <v>117</v>
      </c>
      <c r="D239" t="s">
        <v>39</v>
      </c>
      <c r="E239" t="s">
        <v>40</v>
      </c>
      <c r="F239" t="s">
        <v>27</v>
      </c>
      <c r="G239">
        <v>4</v>
      </c>
      <c r="H239">
        <v>2952.09</v>
      </c>
      <c r="I239">
        <v>0.1</v>
      </c>
      <c r="J239">
        <v>7657</v>
      </c>
      <c r="K239">
        <v>10627.52</v>
      </c>
      <c r="L239">
        <v>2970.52</v>
      </c>
      <c r="M239" t="s">
        <v>28</v>
      </c>
    </row>
    <row r="240" spans="1:13" x14ac:dyDescent="0.3">
      <c r="A240" t="s">
        <v>361</v>
      </c>
      <c r="B240" s="1">
        <v>45756</v>
      </c>
      <c r="C240" t="s">
        <v>300</v>
      </c>
      <c r="D240" t="s">
        <v>45</v>
      </c>
      <c r="E240" t="s">
        <v>16</v>
      </c>
      <c r="F240" t="s">
        <v>27</v>
      </c>
      <c r="G240">
        <v>1</v>
      </c>
      <c r="H240">
        <v>2533.89</v>
      </c>
      <c r="I240">
        <v>0.1</v>
      </c>
      <c r="J240">
        <v>1869.23</v>
      </c>
      <c r="K240">
        <v>2280.5</v>
      </c>
      <c r="L240">
        <v>411.27</v>
      </c>
      <c r="M240" t="s">
        <v>18</v>
      </c>
    </row>
    <row r="241" spans="1:13" x14ac:dyDescent="0.3">
      <c r="A241" t="s">
        <v>362</v>
      </c>
      <c r="B241" s="1">
        <v>45729</v>
      </c>
      <c r="C241" t="s">
        <v>363</v>
      </c>
      <c r="D241" t="s">
        <v>39</v>
      </c>
      <c r="E241" t="s">
        <v>40</v>
      </c>
      <c r="F241" t="s">
        <v>51</v>
      </c>
      <c r="G241">
        <v>3</v>
      </c>
      <c r="H241">
        <v>2941.05</v>
      </c>
      <c r="I241">
        <v>0</v>
      </c>
      <c r="J241">
        <v>6242.01</v>
      </c>
      <c r="K241">
        <v>8823.15</v>
      </c>
      <c r="L241">
        <v>2581.14</v>
      </c>
      <c r="M241" t="s">
        <v>46</v>
      </c>
    </row>
    <row r="242" spans="1:13" x14ac:dyDescent="0.3">
      <c r="A242" t="s">
        <v>364</v>
      </c>
      <c r="B242" s="1">
        <v>45826</v>
      </c>
      <c r="C242" t="s">
        <v>350</v>
      </c>
      <c r="D242" t="s">
        <v>21</v>
      </c>
      <c r="E242" t="s">
        <v>16</v>
      </c>
      <c r="F242" t="s">
        <v>17</v>
      </c>
      <c r="G242">
        <v>3</v>
      </c>
      <c r="H242">
        <v>57791.32</v>
      </c>
      <c r="I242">
        <v>0.15</v>
      </c>
      <c r="J242">
        <v>100465.26</v>
      </c>
      <c r="K242">
        <v>147367.87</v>
      </c>
      <c r="L242">
        <v>46902.61</v>
      </c>
      <c r="M242" t="s">
        <v>28</v>
      </c>
    </row>
    <row r="243" spans="1:13" x14ac:dyDescent="0.3">
      <c r="A243" t="s">
        <v>365</v>
      </c>
      <c r="B243" s="1">
        <v>45739</v>
      </c>
      <c r="C243" t="s">
        <v>366</v>
      </c>
      <c r="D243" t="s">
        <v>34</v>
      </c>
      <c r="E243" t="s">
        <v>35</v>
      </c>
      <c r="F243" t="s">
        <v>51</v>
      </c>
      <c r="G243">
        <v>2</v>
      </c>
      <c r="H243">
        <v>8441.17</v>
      </c>
      <c r="I243">
        <v>0</v>
      </c>
      <c r="J243">
        <v>12188.1</v>
      </c>
      <c r="K243">
        <v>16882.34</v>
      </c>
      <c r="L243">
        <v>4694.24</v>
      </c>
      <c r="M243" t="s">
        <v>36</v>
      </c>
    </row>
    <row r="244" spans="1:13" x14ac:dyDescent="0.3">
      <c r="A244" t="s">
        <v>367</v>
      </c>
      <c r="B244" s="1">
        <v>45902</v>
      </c>
      <c r="C244" t="s">
        <v>368</v>
      </c>
      <c r="D244" t="s">
        <v>31</v>
      </c>
      <c r="E244" t="s">
        <v>26</v>
      </c>
      <c r="F244" t="s">
        <v>27</v>
      </c>
      <c r="G244">
        <v>3</v>
      </c>
      <c r="H244">
        <v>982.32</v>
      </c>
      <c r="I244">
        <v>0.2</v>
      </c>
      <c r="J244">
        <v>1634.07</v>
      </c>
      <c r="K244">
        <v>2357.5700000000002</v>
      </c>
      <c r="L244">
        <v>723.5</v>
      </c>
      <c r="M244" t="s">
        <v>28</v>
      </c>
    </row>
    <row r="245" spans="1:13" x14ac:dyDescent="0.3">
      <c r="A245" t="s">
        <v>369</v>
      </c>
      <c r="B245" s="1">
        <v>45769</v>
      </c>
      <c r="C245" t="s">
        <v>370</v>
      </c>
      <c r="D245" t="s">
        <v>74</v>
      </c>
      <c r="E245" t="s">
        <v>35</v>
      </c>
      <c r="F245" t="s">
        <v>22</v>
      </c>
      <c r="G245">
        <v>5</v>
      </c>
      <c r="H245">
        <v>6892.59</v>
      </c>
      <c r="I245">
        <v>0.15</v>
      </c>
      <c r="J245">
        <v>24028.45</v>
      </c>
      <c r="K245">
        <v>29293.51</v>
      </c>
      <c r="L245">
        <v>5265.06</v>
      </c>
      <c r="M245" t="s">
        <v>36</v>
      </c>
    </row>
    <row r="246" spans="1:13" x14ac:dyDescent="0.3">
      <c r="A246" t="s">
        <v>371</v>
      </c>
      <c r="B246" s="1">
        <v>45946</v>
      </c>
      <c r="C246" t="s">
        <v>153</v>
      </c>
      <c r="D246" t="s">
        <v>39</v>
      </c>
      <c r="E246" t="s">
        <v>40</v>
      </c>
      <c r="F246" t="s">
        <v>17</v>
      </c>
      <c r="G246">
        <v>4</v>
      </c>
      <c r="H246">
        <v>2929.99</v>
      </c>
      <c r="I246">
        <v>0.2</v>
      </c>
      <c r="J246">
        <v>9292.0400000000009</v>
      </c>
      <c r="K246">
        <v>9375.9699999999993</v>
      </c>
      <c r="L246">
        <v>83.93</v>
      </c>
      <c r="M246" t="s">
        <v>46</v>
      </c>
    </row>
    <row r="247" spans="1:13" x14ac:dyDescent="0.3">
      <c r="A247" t="s">
        <v>372</v>
      </c>
      <c r="B247" s="1">
        <v>45884</v>
      </c>
      <c r="C247" t="s">
        <v>153</v>
      </c>
      <c r="D247" t="s">
        <v>58</v>
      </c>
      <c r="E247" t="s">
        <v>40</v>
      </c>
      <c r="F247" t="s">
        <v>22</v>
      </c>
      <c r="G247">
        <v>5</v>
      </c>
      <c r="H247">
        <v>4819.04</v>
      </c>
      <c r="I247">
        <v>0.05</v>
      </c>
      <c r="J247">
        <v>13300.5</v>
      </c>
      <c r="K247">
        <v>22890.44</v>
      </c>
      <c r="L247">
        <v>9589.94</v>
      </c>
      <c r="M247" t="s">
        <v>18</v>
      </c>
    </row>
    <row r="248" spans="1:13" x14ac:dyDescent="0.3">
      <c r="A248" t="s">
        <v>373</v>
      </c>
      <c r="B248" s="1">
        <v>45920</v>
      </c>
      <c r="C248" t="s">
        <v>245</v>
      </c>
      <c r="D248" t="s">
        <v>15</v>
      </c>
      <c r="E248" t="s">
        <v>16</v>
      </c>
      <c r="F248" t="s">
        <v>27</v>
      </c>
      <c r="G248">
        <v>5</v>
      </c>
      <c r="H248">
        <v>21795.1</v>
      </c>
      <c r="I248">
        <v>0.15</v>
      </c>
      <c r="J248">
        <v>82739.05</v>
      </c>
      <c r="K248">
        <v>92629.18</v>
      </c>
      <c r="L248">
        <v>9890.1299999999992</v>
      </c>
      <c r="M248" t="s">
        <v>36</v>
      </c>
    </row>
    <row r="249" spans="1:13" x14ac:dyDescent="0.3">
      <c r="A249" t="s">
        <v>374</v>
      </c>
      <c r="B249" s="1">
        <v>45659</v>
      </c>
      <c r="C249" t="s">
        <v>139</v>
      </c>
      <c r="D249" t="s">
        <v>39</v>
      </c>
      <c r="E249" t="s">
        <v>40</v>
      </c>
      <c r="F249" t="s">
        <v>22</v>
      </c>
      <c r="G249">
        <v>4</v>
      </c>
      <c r="H249">
        <v>3133.41</v>
      </c>
      <c r="I249">
        <v>0.1</v>
      </c>
      <c r="J249">
        <v>9354.48</v>
      </c>
      <c r="K249">
        <v>11280.28</v>
      </c>
      <c r="L249">
        <v>1925.8</v>
      </c>
      <c r="M249" t="s">
        <v>36</v>
      </c>
    </row>
    <row r="250" spans="1:13" x14ac:dyDescent="0.3">
      <c r="A250" t="s">
        <v>375</v>
      </c>
      <c r="B250" s="1">
        <v>45688</v>
      </c>
      <c r="C250" t="s">
        <v>227</v>
      </c>
      <c r="D250" t="s">
        <v>21</v>
      </c>
      <c r="E250" t="s">
        <v>16</v>
      </c>
      <c r="F250" t="s">
        <v>27</v>
      </c>
      <c r="G250">
        <v>4</v>
      </c>
      <c r="H250">
        <v>55452.800000000003</v>
      </c>
      <c r="I250">
        <v>0.1</v>
      </c>
      <c r="J250">
        <v>159521.16</v>
      </c>
      <c r="K250">
        <v>199630.07999999999</v>
      </c>
      <c r="L250">
        <v>40108.92</v>
      </c>
      <c r="M250" t="s">
        <v>36</v>
      </c>
    </row>
    <row r="251" spans="1:13" x14ac:dyDescent="0.3">
      <c r="A251" t="s">
        <v>376</v>
      </c>
      <c r="B251" s="1">
        <v>45988</v>
      </c>
      <c r="C251" t="s">
        <v>245</v>
      </c>
      <c r="D251" t="s">
        <v>31</v>
      </c>
      <c r="E251" t="s">
        <v>26</v>
      </c>
      <c r="F251" t="s">
        <v>51</v>
      </c>
      <c r="G251">
        <v>4</v>
      </c>
      <c r="H251">
        <v>947.85</v>
      </c>
      <c r="I251">
        <v>0.05</v>
      </c>
      <c r="J251">
        <v>2672.08</v>
      </c>
      <c r="K251">
        <v>3601.83</v>
      </c>
      <c r="L251">
        <v>929.75</v>
      </c>
      <c r="M251" t="s">
        <v>18</v>
      </c>
    </row>
    <row r="252" spans="1:13" x14ac:dyDescent="0.3">
      <c r="A252" t="s">
        <v>377</v>
      </c>
      <c r="B252" s="1">
        <v>45934</v>
      </c>
      <c r="C252" t="s">
        <v>82</v>
      </c>
      <c r="D252" t="s">
        <v>54</v>
      </c>
      <c r="E252" t="s">
        <v>55</v>
      </c>
      <c r="F252" t="s">
        <v>51</v>
      </c>
      <c r="G252">
        <v>4</v>
      </c>
      <c r="H252">
        <v>1967.09</v>
      </c>
      <c r="I252">
        <v>0.15</v>
      </c>
      <c r="J252">
        <v>4104.4399999999996</v>
      </c>
      <c r="K252">
        <v>6688.11</v>
      </c>
      <c r="L252">
        <v>2583.67</v>
      </c>
      <c r="M252" t="s">
        <v>36</v>
      </c>
    </row>
    <row r="253" spans="1:13" x14ac:dyDescent="0.3">
      <c r="A253" t="s">
        <v>378</v>
      </c>
      <c r="B253" s="1">
        <v>45772</v>
      </c>
      <c r="C253" t="s">
        <v>125</v>
      </c>
      <c r="D253" t="s">
        <v>45</v>
      </c>
      <c r="E253" t="s">
        <v>16</v>
      </c>
      <c r="F253" t="s">
        <v>17</v>
      </c>
      <c r="G253">
        <v>5</v>
      </c>
      <c r="H253">
        <v>2613.9299999999998</v>
      </c>
      <c r="I253">
        <v>0.15</v>
      </c>
      <c r="J253">
        <v>8527.65</v>
      </c>
      <c r="K253">
        <v>11109.2</v>
      </c>
      <c r="L253">
        <v>2581.5500000000002</v>
      </c>
      <c r="M253" t="s">
        <v>28</v>
      </c>
    </row>
    <row r="254" spans="1:13" x14ac:dyDescent="0.3">
      <c r="A254" t="s">
        <v>379</v>
      </c>
      <c r="B254" s="1">
        <v>45784</v>
      </c>
      <c r="C254" t="s">
        <v>348</v>
      </c>
      <c r="D254" t="s">
        <v>54</v>
      </c>
      <c r="E254" t="s">
        <v>55</v>
      </c>
      <c r="F254" t="s">
        <v>51</v>
      </c>
      <c r="G254">
        <v>5</v>
      </c>
      <c r="H254">
        <v>1916.41</v>
      </c>
      <c r="I254">
        <v>0.15</v>
      </c>
      <c r="J254">
        <v>6146.85</v>
      </c>
      <c r="K254">
        <v>8144.74</v>
      </c>
      <c r="L254">
        <v>1997.89</v>
      </c>
      <c r="M254" t="s">
        <v>46</v>
      </c>
    </row>
    <row r="255" spans="1:13" x14ac:dyDescent="0.3">
      <c r="A255" t="s">
        <v>380</v>
      </c>
      <c r="B255" s="1">
        <v>45972</v>
      </c>
      <c r="C255" t="s">
        <v>70</v>
      </c>
      <c r="D255" t="s">
        <v>31</v>
      </c>
      <c r="E255" t="s">
        <v>26</v>
      </c>
      <c r="F255" t="s">
        <v>17</v>
      </c>
      <c r="G255">
        <v>2</v>
      </c>
      <c r="H255">
        <v>928.84</v>
      </c>
      <c r="I255">
        <v>0</v>
      </c>
      <c r="J255">
        <v>1004.5</v>
      </c>
      <c r="K255">
        <v>1857.68</v>
      </c>
      <c r="L255">
        <v>853.18</v>
      </c>
      <c r="M255" t="s">
        <v>46</v>
      </c>
    </row>
    <row r="256" spans="1:13" x14ac:dyDescent="0.3">
      <c r="A256" t="s">
        <v>381</v>
      </c>
      <c r="B256" s="1">
        <v>46002</v>
      </c>
      <c r="C256" t="s">
        <v>38</v>
      </c>
      <c r="D256" t="s">
        <v>25</v>
      </c>
      <c r="E256" t="s">
        <v>26</v>
      </c>
      <c r="F256" t="s">
        <v>17</v>
      </c>
      <c r="G256">
        <v>1</v>
      </c>
      <c r="H256">
        <v>1780.72</v>
      </c>
      <c r="I256">
        <v>0</v>
      </c>
      <c r="J256">
        <v>1257.27</v>
      </c>
      <c r="K256">
        <v>1780.72</v>
      </c>
      <c r="L256">
        <v>523.45000000000005</v>
      </c>
      <c r="M256" t="s">
        <v>46</v>
      </c>
    </row>
    <row r="257" spans="1:13" x14ac:dyDescent="0.3">
      <c r="A257" t="s">
        <v>382</v>
      </c>
      <c r="B257" s="1">
        <v>45686</v>
      </c>
      <c r="C257" t="s">
        <v>82</v>
      </c>
      <c r="D257" t="s">
        <v>21</v>
      </c>
      <c r="E257" t="s">
        <v>16</v>
      </c>
      <c r="F257" t="s">
        <v>51</v>
      </c>
      <c r="G257">
        <v>4</v>
      </c>
      <c r="H257">
        <v>51889.96</v>
      </c>
      <c r="I257">
        <v>0.15</v>
      </c>
      <c r="J257">
        <v>133888.68</v>
      </c>
      <c r="K257">
        <v>176425.86</v>
      </c>
      <c r="L257">
        <v>42537.18</v>
      </c>
      <c r="M257" t="s">
        <v>46</v>
      </c>
    </row>
    <row r="258" spans="1:13" x14ac:dyDescent="0.3">
      <c r="A258" t="s">
        <v>383</v>
      </c>
      <c r="B258" s="1">
        <v>45822</v>
      </c>
      <c r="C258" t="s">
        <v>68</v>
      </c>
      <c r="D258" t="s">
        <v>58</v>
      </c>
      <c r="E258" t="s">
        <v>40</v>
      </c>
      <c r="F258" t="s">
        <v>51</v>
      </c>
      <c r="G258">
        <v>3</v>
      </c>
      <c r="H258">
        <v>4655.28</v>
      </c>
      <c r="I258">
        <v>0.2</v>
      </c>
      <c r="J258">
        <v>9442.98</v>
      </c>
      <c r="K258">
        <v>11172.67</v>
      </c>
      <c r="L258">
        <v>1729.69</v>
      </c>
      <c r="M258" t="s">
        <v>46</v>
      </c>
    </row>
    <row r="259" spans="1:13" x14ac:dyDescent="0.3">
      <c r="A259" t="s">
        <v>384</v>
      </c>
      <c r="B259" s="1">
        <v>45960</v>
      </c>
      <c r="C259" t="s">
        <v>385</v>
      </c>
      <c r="D259" t="s">
        <v>39</v>
      </c>
      <c r="E259" t="s">
        <v>40</v>
      </c>
      <c r="F259" t="s">
        <v>22</v>
      </c>
      <c r="G259">
        <v>2</v>
      </c>
      <c r="H259">
        <v>2919.01</v>
      </c>
      <c r="I259">
        <v>0.15</v>
      </c>
      <c r="J259">
        <v>4000.8</v>
      </c>
      <c r="K259">
        <v>4962.32</v>
      </c>
      <c r="L259">
        <v>961.52</v>
      </c>
      <c r="M259" t="s">
        <v>18</v>
      </c>
    </row>
    <row r="260" spans="1:13" x14ac:dyDescent="0.3">
      <c r="A260" t="s">
        <v>386</v>
      </c>
      <c r="B260" s="1">
        <v>46001</v>
      </c>
      <c r="C260" t="s">
        <v>30</v>
      </c>
      <c r="D260" t="s">
        <v>39</v>
      </c>
      <c r="E260" t="s">
        <v>40</v>
      </c>
      <c r="F260" t="s">
        <v>51</v>
      </c>
      <c r="G260">
        <v>4</v>
      </c>
      <c r="H260">
        <v>3482.62</v>
      </c>
      <c r="I260">
        <v>0</v>
      </c>
      <c r="J260">
        <v>10151.32</v>
      </c>
      <c r="K260">
        <v>13930.48</v>
      </c>
      <c r="L260">
        <v>3779.16</v>
      </c>
      <c r="M260" t="s">
        <v>18</v>
      </c>
    </row>
    <row r="261" spans="1:13" x14ac:dyDescent="0.3">
      <c r="A261" t="s">
        <v>387</v>
      </c>
      <c r="B261" s="1">
        <v>45900</v>
      </c>
      <c r="C261" t="s">
        <v>68</v>
      </c>
      <c r="D261" t="s">
        <v>74</v>
      </c>
      <c r="E261" t="s">
        <v>35</v>
      </c>
      <c r="F261" t="s">
        <v>22</v>
      </c>
      <c r="G261">
        <v>2</v>
      </c>
      <c r="H261">
        <v>6830.74</v>
      </c>
      <c r="I261">
        <v>0.1</v>
      </c>
      <c r="J261">
        <v>8373.5</v>
      </c>
      <c r="K261">
        <v>12295.33</v>
      </c>
      <c r="L261">
        <v>3921.83</v>
      </c>
      <c r="M261" t="s">
        <v>28</v>
      </c>
    </row>
    <row r="262" spans="1:13" x14ac:dyDescent="0.3">
      <c r="A262" t="s">
        <v>388</v>
      </c>
      <c r="B262" s="1">
        <v>45943</v>
      </c>
      <c r="C262" t="s">
        <v>222</v>
      </c>
      <c r="D262" t="s">
        <v>45</v>
      </c>
      <c r="E262" t="s">
        <v>16</v>
      </c>
      <c r="F262" t="s">
        <v>22</v>
      </c>
      <c r="G262">
        <v>4</v>
      </c>
      <c r="H262">
        <v>2733.89</v>
      </c>
      <c r="I262">
        <v>0</v>
      </c>
      <c r="J262">
        <v>6905.96</v>
      </c>
      <c r="K262">
        <v>10935.56</v>
      </c>
      <c r="L262">
        <v>4029.6</v>
      </c>
      <c r="M262" t="s">
        <v>18</v>
      </c>
    </row>
    <row r="263" spans="1:13" x14ac:dyDescent="0.3">
      <c r="A263" t="s">
        <v>389</v>
      </c>
      <c r="B263" s="1">
        <v>45888</v>
      </c>
      <c r="C263" t="s">
        <v>233</v>
      </c>
      <c r="D263" t="s">
        <v>25</v>
      </c>
      <c r="E263" t="s">
        <v>26</v>
      </c>
      <c r="F263" t="s">
        <v>17</v>
      </c>
      <c r="G263">
        <v>3</v>
      </c>
      <c r="H263">
        <v>1648.47</v>
      </c>
      <c r="I263">
        <v>0.05</v>
      </c>
      <c r="J263">
        <v>3415.86</v>
      </c>
      <c r="K263">
        <v>4698.1400000000003</v>
      </c>
      <c r="L263">
        <v>1282.28</v>
      </c>
      <c r="M263" t="s">
        <v>46</v>
      </c>
    </row>
    <row r="264" spans="1:13" x14ac:dyDescent="0.3">
      <c r="A264" t="s">
        <v>390</v>
      </c>
      <c r="B264" s="1">
        <v>45695</v>
      </c>
      <c r="C264" t="s">
        <v>79</v>
      </c>
      <c r="D264" t="s">
        <v>21</v>
      </c>
      <c r="E264" t="s">
        <v>16</v>
      </c>
      <c r="F264" t="s">
        <v>22</v>
      </c>
      <c r="G264">
        <v>3</v>
      </c>
      <c r="H264">
        <v>56132.14</v>
      </c>
      <c r="I264">
        <v>0.15</v>
      </c>
      <c r="J264">
        <v>118538.97</v>
      </c>
      <c r="K264">
        <v>143136.95999999999</v>
      </c>
      <c r="L264">
        <v>24597.99</v>
      </c>
      <c r="M264" t="s">
        <v>18</v>
      </c>
    </row>
    <row r="265" spans="1:13" x14ac:dyDescent="0.3">
      <c r="A265" t="s">
        <v>391</v>
      </c>
      <c r="B265" s="1">
        <v>45755</v>
      </c>
      <c r="C265" t="s">
        <v>385</v>
      </c>
      <c r="D265" t="s">
        <v>25</v>
      </c>
      <c r="E265" t="s">
        <v>26</v>
      </c>
      <c r="F265" t="s">
        <v>17</v>
      </c>
      <c r="G265">
        <v>3</v>
      </c>
      <c r="H265">
        <v>1625.52</v>
      </c>
      <c r="I265">
        <v>0.1</v>
      </c>
      <c r="J265">
        <v>4261.9799999999996</v>
      </c>
      <c r="K265">
        <v>4388.8999999999996</v>
      </c>
      <c r="L265">
        <v>126.92</v>
      </c>
      <c r="M265" t="s">
        <v>18</v>
      </c>
    </row>
    <row r="266" spans="1:13" x14ac:dyDescent="0.3">
      <c r="A266" t="s">
        <v>392</v>
      </c>
      <c r="B266" s="1">
        <v>45822</v>
      </c>
      <c r="C266" t="s">
        <v>155</v>
      </c>
      <c r="D266" t="s">
        <v>25</v>
      </c>
      <c r="E266" t="s">
        <v>26</v>
      </c>
      <c r="F266" t="s">
        <v>51</v>
      </c>
      <c r="G266">
        <v>5</v>
      </c>
      <c r="H266">
        <v>1706.16</v>
      </c>
      <c r="I266">
        <v>0.05</v>
      </c>
      <c r="J266">
        <v>5842.4</v>
      </c>
      <c r="K266">
        <v>8104.26</v>
      </c>
      <c r="L266">
        <v>2261.86</v>
      </c>
      <c r="M266" t="s">
        <v>18</v>
      </c>
    </row>
    <row r="267" spans="1:13" x14ac:dyDescent="0.3">
      <c r="A267" t="s">
        <v>393</v>
      </c>
      <c r="B267" s="1">
        <v>45912</v>
      </c>
      <c r="C267" t="s">
        <v>135</v>
      </c>
      <c r="D267" t="s">
        <v>54</v>
      </c>
      <c r="E267" t="s">
        <v>55</v>
      </c>
      <c r="F267" t="s">
        <v>17</v>
      </c>
      <c r="G267">
        <v>5</v>
      </c>
      <c r="H267">
        <v>1749.47</v>
      </c>
      <c r="I267">
        <v>0.1</v>
      </c>
      <c r="J267">
        <v>5643.95</v>
      </c>
      <c r="K267">
        <v>7872.62</v>
      </c>
      <c r="L267">
        <v>2228.67</v>
      </c>
      <c r="M267" t="s">
        <v>18</v>
      </c>
    </row>
    <row r="268" spans="1:13" x14ac:dyDescent="0.3">
      <c r="A268" t="s">
        <v>394</v>
      </c>
      <c r="B268" s="1">
        <v>45771</v>
      </c>
      <c r="C268" t="s">
        <v>385</v>
      </c>
      <c r="D268" t="s">
        <v>34</v>
      </c>
      <c r="E268" t="s">
        <v>35</v>
      </c>
      <c r="F268" t="s">
        <v>22</v>
      </c>
      <c r="G268">
        <v>2</v>
      </c>
      <c r="H268">
        <v>7727.72</v>
      </c>
      <c r="I268">
        <v>0.1</v>
      </c>
      <c r="J268">
        <v>10679.92</v>
      </c>
      <c r="K268">
        <v>13909.9</v>
      </c>
      <c r="L268">
        <v>3229.98</v>
      </c>
      <c r="M268" t="s">
        <v>36</v>
      </c>
    </row>
    <row r="269" spans="1:13" x14ac:dyDescent="0.3">
      <c r="A269" t="s">
        <v>395</v>
      </c>
      <c r="B269" s="1">
        <v>45736</v>
      </c>
      <c r="C269" t="s">
        <v>112</v>
      </c>
      <c r="D269" t="s">
        <v>31</v>
      </c>
      <c r="E269" t="s">
        <v>26</v>
      </c>
      <c r="F269" t="s">
        <v>51</v>
      </c>
      <c r="G269">
        <v>5</v>
      </c>
      <c r="H269">
        <v>885.16</v>
      </c>
      <c r="I269">
        <v>0.2</v>
      </c>
      <c r="J269">
        <v>3126.55</v>
      </c>
      <c r="K269">
        <v>3540.64</v>
      </c>
      <c r="L269">
        <v>414.09</v>
      </c>
      <c r="M269" t="s">
        <v>46</v>
      </c>
    </row>
    <row r="270" spans="1:13" x14ac:dyDescent="0.3">
      <c r="A270" t="s">
        <v>396</v>
      </c>
      <c r="B270" s="1">
        <v>46008</v>
      </c>
      <c r="C270" t="s">
        <v>160</v>
      </c>
      <c r="D270" t="s">
        <v>74</v>
      </c>
      <c r="E270" t="s">
        <v>35</v>
      </c>
      <c r="F270" t="s">
        <v>51</v>
      </c>
      <c r="G270">
        <v>5</v>
      </c>
      <c r="H270">
        <v>6700.99</v>
      </c>
      <c r="I270">
        <v>0.05</v>
      </c>
      <c r="J270">
        <v>21931.8</v>
      </c>
      <c r="K270">
        <v>31829.7</v>
      </c>
      <c r="L270">
        <v>9897.9</v>
      </c>
      <c r="M270" t="s">
        <v>18</v>
      </c>
    </row>
    <row r="271" spans="1:13" x14ac:dyDescent="0.3">
      <c r="A271" t="s">
        <v>397</v>
      </c>
      <c r="B271" s="1">
        <v>45729</v>
      </c>
      <c r="C271" t="s">
        <v>249</v>
      </c>
      <c r="D271" t="s">
        <v>54</v>
      </c>
      <c r="E271" t="s">
        <v>55</v>
      </c>
      <c r="F271" t="s">
        <v>27</v>
      </c>
      <c r="G271">
        <v>4</v>
      </c>
      <c r="H271">
        <v>1746.78</v>
      </c>
      <c r="I271">
        <v>0.05</v>
      </c>
      <c r="J271">
        <v>5279</v>
      </c>
      <c r="K271">
        <v>6637.76</v>
      </c>
      <c r="L271">
        <v>1358.76</v>
      </c>
      <c r="M271" t="s">
        <v>46</v>
      </c>
    </row>
    <row r="272" spans="1:13" x14ac:dyDescent="0.3">
      <c r="A272" t="s">
        <v>398</v>
      </c>
      <c r="B272" s="1">
        <v>46000</v>
      </c>
      <c r="C272" t="s">
        <v>174</v>
      </c>
      <c r="D272" t="s">
        <v>39</v>
      </c>
      <c r="E272" t="s">
        <v>40</v>
      </c>
      <c r="F272" t="s">
        <v>17</v>
      </c>
      <c r="G272">
        <v>1</v>
      </c>
      <c r="H272">
        <v>3421.89</v>
      </c>
      <c r="I272">
        <v>0.2</v>
      </c>
      <c r="J272">
        <v>1787.06</v>
      </c>
      <c r="K272">
        <v>2737.51</v>
      </c>
      <c r="L272">
        <v>950.45</v>
      </c>
      <c r="M272" t="s">
        <v>18</v>
      </c>
    </row>
    <row r="273" spans="1:13" x14ac:dyDescent="0.3">
      <c r="A273" t="s">
        <v>399</v>
      </c>
      <c r="B273" s="1">
        <v>45916</v>
      </c>
      <c r="C273" t="s">
        <v>348</v>
      </c>
      <c r="D273" t="s">
        <v>45</v>
      </c>
      <c r="E273" t="s">
        <v>16</v>
      </c>
      <c r="F273" t="s">
        <v>51</v>
      </c>
      <c r="G273">
        <v>2</v>
      </c>
      <c r="H273">
        <v>2254.5700000000002</v>
      </c>
      <c r="I273">
        <v>0</v>
      </c>
      <c r="J273">
        <v>3633.96</v>
      </c>
      <c r="K273">
        <v>4509.1400000000003</v>
      </c>
      <c r="L273">
        <v>875.18</v>
      </c>
      <c r="M273" t="s">
        <v>36</v>
      </c>
    </row>
    <row r="274" spans="1:13" x14ac:dyDescent="0.3">
      <c r="A274" t="s">
        <v>400</v>
      </c>
      <c r="B274" s="1">
        <v>45930</v>
      </c>
      <c r="C274" t="s">
        <v>180</v>
      </c>
      <c r="D274" t="s">
        <v>58</v>
      </c>
      <c r="E274" t="s">
        <v>40</v>
      </c>
      <c r="F274" t="s">
        <v>27</v>
      </c>
      <c r="G274">
        <v>5</v>
      </c>
      <c r="H274">
        <v>4064.16</v>
      </c>
      <c r="I274">
        <v>0.15</v>
      </c>
      <c r="J274">
        <v>16083.45</v>
      </c>
      <c r="K274">
        <v>17272.68</v>
      </c>
      <c r="L274">
        <v>1189.23</v>
      </c>
      <c r="M274" t="s">
        <v>36</v>
      </c>
    </row>
    <row r="275" spans="1:13" x14ac:dyDescent="0.3">
      <c r="A275" t="s">
        <v>401</v>
      </c>
      <c r="B275" s="1">
        <v>45915</v>
      </c>
      <c r="C275" t="s">
        <v>24</v>
      </c>
      <c r="D275" t="s">
        <v>21</v>
      </c>
      <c r="E275" t="s">
        <v>16</v>
      </c>
      <c r="F275" t="s">
        <v>27</v>
      </c>
      <c r="G275">
        <v>5</v>
      </c>
      <c r="H275">
        <v>52653.57</v>
      </c>
      <c r="I275">
        <v>0.1</v>
      </c>
      <c r="J275">
        <v>188082</v>
      </c>
      <c r="K275">
        <v>236941.06</v>
      </c>
      <c r="L275">
        <v>48859.06</v>
      </c>
      <c r="M275" t="s">
        <v>46</v>
      </c>
    </row>
    <row r="276" spans="1:13" x14ac:dyDescent="0.3">
      <c r="A276" t="s">
        <v>402</v>
      </c>
      <c r="B276" s="1">
        <v>45927</v>
      </c>
      <c r="C276" t="s">
        <v>215</v>
      </c>
      <c r="D276" t="s">
        <v>15</v>
      </c>
      <c r="E276" t="s">
        <v>16</v>
      </c>
      <c r="F276" t="s">
        <v>51</v>
      </c>
      <c r="G276">
        <v>1</v>
      </c>
      <c r="H276">
        <v>20644.5</v>
      </c>
      <c r="I276">
        <v>0.2</v>
      </c>
      <c r="J276">
        <v>12918.94</v>
      </c>
      <c r="K276">
        <v>16515.599999999999</v>
      </c>
      <c r="L276">
        <v>3596.66</v>
      </c>
      <c r="M276" t="s">
        <v>28</v>
      </c>
    </row>
    <row r="277" spans="1:13" x14ac:dyDescent="0.3">
      <c r="A277" t="s">
        <v>403</v>
      </c>
      <c r="B277" s="1">
        <v>45782</v>
      </c>
      <c r="C277" t="s">
        <v>24</v>
      </c>
      <c r="D277" t="s">
        <v>74</v>
      </c>
      <c r="E277" t="s">
        <v>35</v>
      </c>
      <c r="F277" t="s">
        <v>22</v>
      </c>
      <c r="G277">
        <v>1</v>
      </c>
      <c r="H277">
        <v>6446.7</v>
      </c>
      <c r="I277">
        <v>0.1</v>
      </c>
      <c r="J277">
        <v>5133.8599999999997</v>
      </c>
      <c r="K277">
        <v>5802.03</v>
      </c>
      <c r="L277">
        <v>668.17</v>
      </c>
      <c r="M277" t="s">
        <v>28</v>
      </c>
    </row>
    <row r="278" spans="1:13" x14ac:dyDescent="0.3">
      <c r="A278" t="s">
        <v>404</v>
      </c>
      <c r="B278" s="1">
        <v>45901</v>
      </c>
      <c r="C278" t="s">
        <v>86</v>
      </c>
      <c r="D278" t="s">
        <v>15</v>
      </c>
      <c r="E278" t="s">
        <v>16</v>
      </c>
      <c r="F278" t="s">
        <v>17</v>
      </c>
      <c r="G278">
        <v>1</v>
      </c>
      <c r="H278">
        <v>21459.55</v>
      </c>
      <c r="I278">
        <v>0</v>
      </c>
      <c r="J278">
        <v>14329.03</v>
      </c>
      <c r="K278">
        <v>21459.55</v>
      </c>
      <c r="L278">
        <v>7130.52</v>
      </c>
      <c r="M278" t="s">
        <v>46</v>
      </c>
    </row>
    <row r="279" spans="1:13" x14ac:dyDescent="0.3">
      <c r="A279" t="s">
        <v>405</v>
      </c>
      <c r="B279" s="1">
        <v>45706</v>
      </c>
      <c r="C279" t="s">
        <v>222</v>
      </c>
      <c r="D279" t="s">
        <v>15</v>
      </c>
      <c r="E279" t="s">
        <v>16</v>
      </c>
      <c r="F279" t="s">
        <v>17</v>
      </c>
      <c r="G279">
        <v>4</v>
      </c>
      <c r="H279">
        <v>21257.59</v>
      </c>
      <c r="I279">
        <v>0.15</v>
      </c>
      <c r="J279">
        <v>62587.96</v>
      </c>
      <c r="K279">
        <v>72275.81</v>
      </c>
      <c r="L279">
        <v>9687.85</v>
      </c>
      <c r="M279" t="s">
        <v>46</v>
      </c>
    </row>
    <row r="280" spans="1:13" x14ac:dyDescent="0.3">
      <c r="A280" t="s">
        <v>406</v>
      </c>
      <c r="B280" s="1">
        <v>46008</v>
      </c>
      <c r="C280" t="s">
        <v>42</v>
      </c>
      <c r="D280" t="s">
        <v>25</v>
      </c>
      <c r="E280" t="s">
        <v>26</v>
      </c>
      <c r="F280" t="s">
        <v>17</v>
      </c>
      <c r="G280">
        <v>5</v>
      </c>
      <c r="H280">
        <v>1952.7</v>
      </c>
      <c r="I280">
        <v>0.15</v>
      </c>
      <c r="J280">
        <v>5559.95</v>
      </c>
      <c r="K280">
        <v>8298.98</v>
      </c>
      <c r="L280">
        <v>2739.03</v>
      </c>
      <c r="M280" t="s">
        <v>46</v>
      </c>
    </row>
    <row r="281" spans="1:13" x14ac:dyDescent="0.3">
      <c r="A281" t="s">
        <v>407</v>
      </c>
      <c r="B281" s="1">
        <v>46022</v>
      </c>
      <c r="C281" t="s">
        <v>157</v>
      </c>
      <c r="D281" t="s">
        <v>34</v>
      </c>
      <c r="E281" t="s">
        <v>35</v>
      </c>
      <c r="F281" t="s">
        <v>17</v>
      </c>
      <c r="G281">
        <v>1</v>
      </c>
      <c r="H281">
        <v>8928.83</v>
      </c>
      <c r="I281">
        <v>0.05</v>
      </c>
      <c r="J281">
        <v>5922.45</v>
      </c>
      <c r="K281">
        <v>8482.39</v>
      </c>
      <c r="L281">
        <v>2559.94</v>
      </c>
      <c r="M281" t="s">
        <v>28</v>
      </c>
    </row>
    <row r="282" spans="1:13" x14ac:dyDescent="0.3">
      <c r="A282" t="s">
        <v>408</v>
      </c>
      <c r="B282" s="1">
        <v>46004</v>
      </c>
      <c r="C282" t="s">
        <v>66</v>
      </c>
      <c r="D282" t="s">
        <v>45</v>
      </c>
      <c r="E282" t="s">
        <v>16</v>
      </c>
      <c r="F282" t="s">
        <v>51</v>
      </c>
      <c r="G282">
        <v>5</v>
      </c>
      <c r="H282">
        <v>2674.72</v>
      </c>
      <c r="I282">
        <v>0.05</v>
      </c>
      <c r="J282">
        <v>8645.9</v>
      </c>
      <c r="K282">
        <v>12704.92</v>
      </c>
      <c r="L282">
        <v>4059.02</v>
      </c>
      <c r="M282" t="s">
        <v>18</v>
      </c>
    </row>
    <row r="283" spans="1:13" x14ac:dyDescent="0.3">
      <c r="A283" t="s">
        <v>409</v>
      </c>
      <c r="B283" s="1">
        <v>45708</v>
      </c>
      <c r="C283" t="s">
        <v>188</v>
      </c>
      <c r="D283" t="s">
        <v>45</v>
      </c>
      <c r="E283" t="s">
        <v>16</v>
      </c>
      <c r="F283" t="s">
        <v>22</v>
      </c>
      <c r="G283">
        <v>1</v>
      </c>
      <c r="H283">
        <v>2422.9299999999998</v>
      </c>
      <c r="I283">
        <v>0.2</v>
      </c>
      <c r="J283">
        <v>1840.91</v>
      </c>
      <c r="K283">
        <v>1938.34</v>
      </c>
      <c r="L283">
        <v>97.43</v>
      </c>
      <c r="M283" t="s">
        <v>36</v>
      </c>
    </row>
    <row r="284" spans="1:13" x14ac:dyDescent="0.3">
      <c r="A284" t="s">
        <v>410</v>
      </c>
      <c r="B284" s="1">
        <v>45825</v>
      </c>
      <c r="C284" t="s">
        <v>115</v>
      </c>
      <c r="D284" t="s">
        <v>34</v>
      </c>
      <c r="E284" t="s">
        <v>35</v>
      </c>
      <c r="F284" t="s">
        <v>51</v>
      </c>
      <c r="G284">
        <v>5</v>
      </c>
      <c r="H284">
        <v>8324.4</v>
      </c>
      <c r="I284">
        <v>0.2</v>
      </c>
      <c r="J284">
        <v>33520.35</v>
      </c>
      <c r="K284">
        <v>33297.599999999999</v>
      </c>
      <c r="L284">
        <v>-222.75</v>
      </c>
      <c r="M284" t="s">
        <v>18</v>
      </c>
    </row>
    <row r="285" spans="1:13" x14ac:dyDescent="0.3">
      <c r="A285" t="s">
        <v>411</v>
      </c>
      <c r="B285" s="1">
        <v>45753</v>
      </c>
      <c r="C285" t="s">
        <v>62</v>
      </c>
      <c r="D285" t="s">
        <v>54</v>
      </c>
      <c r="E285" t="s">
        <v>55</v>
      </c>
      <c r="F285" t="s">
        <v>27</v>
      </c>
      <c r="G285">
        <v>2</v>
      </c>
      <c r="H285">
        <v>1755.15</v>
      </c>
      <c r="I285">
        <v>0.1</v>
      </c>
      <c r="J285">
        <v>2477.7399999999998</v>
      </c>
      <c r="K285">
        <v>3159.27</v>
      </c>
      <c r="L285">
        <v>681.53</v>
      </c>
      <c r="M285" t="s">
        <v>36</v>
      </c>
    </row>
    <row r="286" spans="1:13" x14ac:dyDescent="0.3">
      <c r="A286" t="s">
        <v>412</v>
      </c>
      <c r="B286" s="1">
        <v>45736</v>
      </c>
      <c r="C286" t="s">
        <v>30</v>
      </c>
      <c r="D286" t="s">
        <v>58</v>
      </c>
      <c r="E286" t="s">
        <v>40</v>
      </c>
      <c r="F286" t="s">
        <v>22</v>
      </c>
      <c r="G286">
        <v>3</v>
      </c>
      <c r="H286">
        <v>4123.83</v>
      </c>
      <c r="I286">
        <v>0.05</v>
      </c>
      <c r="J286">
        <v>9831.75</v>
      </c>
      <c r="K286">
        <v>11752.92</v>
      </c>
      <c r="L286">
        <v>1921.17</v>
      </c>
      <c r="M286" t="s">
        <v>18</v>
      </c>
    </row>
    <row r="287" spans="1:13" x14ac:dyDescent="0.3">
      <c r="A287" t="s">
        <v>413</v>
      </c>
      <c r="B287" s="1">
        <v>45885</v>
      </c>
      <c r="C287" t="s">
        <v>106</v>
      </c>
      <c r="D287" t="s">
        <v>34</v>
      </c>
      <c r="E287" t="s">
        <v>35</v>
      </c>
      <c r="F287" t="s">
        <v>51</v>
      </c>
      <c r="G287">
        <v>3</v>
      </c>
      <c r="H287">
        <v>9253.0300000000007</v>
      </c>
      <c r="I287">
        <v>0</v>
      </c>
      <c r="J287">
        <v>14608.44</v>
      </c>
      <c r="K287">
        <v>27759.09</v>
      </c>
      <c r="L287">
        <v>13150.65</v>
      </c>
      <c r="M287" t="s">
        <v>36</v>
      </c>
    </row>
    <row r="288" spans="1:13" x14ac:dyDescent="0.3">
      <c r="A288" t="s">
        <v>414</v>
      </c>
      <c r="B288" s="1">
        <v>45920</v>
      </c>
      <c r="C288" t="s">
        <v>110</v>
      </c>
      <c r="D288" t="s">
        <v>45</v>
      </c>
      <c r="E288" t="s">
        <v>16</v>
      </c>
      <c r="F288" t="s">
        <v>17</v>
      </c>
      <c r="G288">
        <v>1</v>
      </c>
      <c r="H288">
        <v>2528.4899999999998</v>
      </c>
      <c r="I288">
        <v>0.05</v>
      </c>
      <c r="J288">
        <v>1644.36</v>
      </c>
      <c r="K288">
        <v>2402.0700000000002</v>
      </c>
      <c r="L288">
        <v>757.71</v>
      </c>
      <c r="M288" t="s">
        <v>36</v>
      </c>
    </row>
    <row r="289" spans="1:13" x14ac:dyDescent="0.3">
      <c r="A289" t="s">
        <v>415</v>
      </c>
      <c r="B289" s="1">
        <v>45824</v>
      </c>
      <c r="C289" t="s">
        <v>60</v>
      </c>
      <c r="D289" t="s">
        <v>15</v>
      </c>
      <c r="E289" t="s">
        <v>16</v>
      </c>
      <c r="F289" t="s">
        <v>17</v>
      </c>
      <c r="G289">
        <v>3</v>
      </c>
      <c r="H289">
        <v>22431.39</v>
      </c>
      <c r="I289">
        <v>0.2</v>
      </c>
      <c r="J289">
        <v>37835.550000000003</v>
      </c>
      <c r="K289">
        <v>53835.34</v>
      </c>
      <c r="L289">
        <v>15999.79</v>
      </c>
      <c r="M289" t="s">
        <v>28</v>
      </c>
    </row>
    <row r="290" spans="1:13" x14ac:dyDescent="0.3">
      <c r="A290" t="s">
        <v>416</v>
      </c>
      <c r="B290" s="1">
        <v>45782</v>
      </c>
      <c r="C290" t="s">
        <v>217</v>
      </c>
      <c r="D290" t="s">
        <v>74</v>
      </c>
      <c r="E290" t="s">
        <v>35</v>
      </c>
      <c r="F290" t="s">
        <v>22</v>
      </c>
      <c r="G290">
        <v>4</v>
      </c>
      <c r="H290">
        <v>6577.4</v>
      </c>
      <c r="I290">
        <v>0</v>
      </c>
      <c r="J290">
        <v>19011.48</v>
      </c>
      <c r="K290">
        <v>26309.599999999999</v>
      </c>
      <c r="L290">
        <v>7298.12</v>
      </c>
      <c r="M290" t="s">
        <v>18</v>
      </c>
    </row>
    <row r="291" spans="1:13" x14ac:dyDescent="0.3">
      <c r="A291" t="s">
        <v>417</v>
      </c>
      <c r="B291" s="1">
        <v>45690</v>
      </c>
      <c r="C291" t="s">
        <v>323</v>
      </c>
      <c r="D291" t="s">
        <v>45</v>
      </c>
      <c r="E291" t="s">
        <v>16</v>
      </c>
      <c r="F291" t="s">
        <v>27</v>
      </c>
      <c r="G291">
        <v>2</v>
      </c>
      <c r="H291">
        <v>2496.56</v>
      </c>
      <c r="I291">
        <v>0.1</v>
      </c>
      <c r="J291">
        <v>3126.42</v>
      </c>
      <c r="K291">
        <v>4493.8100000000004</v>
      </c>
      <c r="L291">
        <v>1367.39</v>
      </c>
      <c r="M291" t="s">
        <v>28</v>
      </c>
    </row>
    <row r="292" spans="1:13" x14ac:dyDescent="0.3">
      <c r="A292" t="s">
        <v>418</v>
      </c>
      <c r="B292" s="1">
        <v>45784</v>
      </c>
      <c r="C292" t="s">
        <v>249</v>
      </c>
      <c r="D292" t="s">
        <v>74</v>
      </c>
      <c r="E292" t="s">
        <v>35</v>
      </c>
      <c r="F292" t="s">
        <v>27</v>
      </c>
      <c r="G292">
        <v>3</v>
      </c>
      <c r="H292">
        <v>6319.46</v>
      </c>
      <c r="I292">
        <v>0.15</v>
      </c>
      <c r="J292">
        <v>14540.49</v>
      </c>
      <c r="K292">
        <v>16114.62</v>
      </c>
      <c r="L292">
        <v>1574.13</v>
      </c>
      <c r="M292" t="s">
        <v>46</v>
      </c>
    </row>
    <row r="293" spans="1:13" x14ac:dyDescent="0.3">
      <c r="A293" t="s">
        <v>419</v>
      </c>
      <c r="B293" s="1">
        <v>45828</v>
      </c>
      <c r="C293" t="s">
        <v>108</v>
      </c>
      <c r="D293" t="s">
        <v>54</v>
      </c>
      <c r="E293" t="s">
        <v>55</v>
      </c>
      <c r="F293" t="s">
        <v>27</v>
      </c>
      <c r="G293">
        <v>1</v>
      </c>
      <c r="H293">
        <v>1961.58</v>
      </c>
      <c r="I293">
        <v>0.05</v>
      </c>
      <c r="J293">
        <v>1127.0999999999999</v>
      </c>
      <c r="K293">
        <v>1863.5</v>
      </c>
      <c r="L293">
        <v>736.4</v>
      </c>
      <c r="M293" t="s">
        <v>28</v>
      </c>
    </row>
    <row r="294" spans="1:13" x14ac:dyDescent="0.3">
      <c r="A294" t="s">
        <v>420</v>
      </c>
      <c r="B294" s="1">
        <v>45962</v>
      </c>
      <c r="C294" t="s">
        <v>82</v>
      </c>
      <c r="D294" t="s">
        <v>54</v>
      </c>
      <c r="E294" t="s">
        <v>55</v>
      </c>
      <c r="F294" t="s">
        <v>51</v>
      </c>
      <c r="G294">
        <v>3</v>
      </c>
      <c r="H294">
        <v>1929.42</v>
      </c>
      <c r="I294">
        <v>0.15</v>
      </c>
      <c r="J294">
        <v>4070.88</v>
      </c>
      <c r="K294">
        <v>4920.0200000000004</v>
      </c>
      <c r="L294">
        <v>849.14</v>
      </c>
      <c r="M294" t="s">
        <v>28</v>
      </c>
    </row>
    <row r="295" spans="1:13" x14ac:dyDescent="0.3">
      <c r="A295" t="s">
        <v>421</v>
      </c>
      <c r="B295" s="1">
        <v>45821</v>
      </c>
      <c r="C295" t="s">
        <v>123</v>
      </c>
      <c r="D295" t="s">
        <v>58</v>
      </c>
      <c r="E295" t="s">
        <v>40</v>
      </c>
      <c r="F295" t="s">
        <v>27</v>
      </c>
      <c r="G295">
        <v>2</v>
      </c>
      <c r="H295">
        <v>4918.12</v>
      </c>
      <c r="I295">
        <v>0.15</v>
      </c>
      <c r="J295">
        <v>5656.92</v>
      </c>
      <c r="K295">
        <v>8360.7999999999993</v>
      </c>
      <c r="L295">
        <v>2703.88</v>
      </c>
      <c r="M295" t="s">
        <v>46</v>
      </c>
    </row>
    <row r="296" spans="1:13" x14ac:dyDescent="0.3">
      <c r="A296" t="s">
        <v>422</v>
      </c>
      <c r="B296" s="1">
        <v>45716</v>
      </c>
      <c r="C296" t="s">
        <v>92</v>
      </c>
      <c r="D296" t="s">
        <v>34</v>
      </c>
      <c r="E296" t="s">
        <v>35</v>
      </c>
      <c r="F296" t="s">
        <v>22</v>
      </c>
      <c r="G296">
        <v>4</v>
      </c>
      <c r="H296">
        <v>8317.99</v>
      </c>
      <c r="I296">
        <v>0.1</v>
      </c>
      <c r="J296">
        <v>25640.2</v>
      </c>
      <c r="K296">
        <v>29944.76</v>
      </c>
      <c r="L296">
        <v>4304.5600000000004</v>
      </c>
      <c r="M296" t="s">
        <v>46</v>
      </c>
    </row>
    <row r="297" spans="1:13" x14ac:dyDescent="0.3">
      <c r="A297" t="s">
        <v>423</v>
      </c>
      <c r="B297" s="1">
        <v>45807</v>
      </c>
      <c r="C297" t="s">
        <v>48</v>
      </c>
      <c r="D297" t="s">
        <v>39</v>
      </c>
      <c r="E297" t="s">
        <v>40</v>
      </c>
      <c r="F297" t="s">
        <v>17</v>
      </c>
      <c r="G297">
        <v>1</v>
      </c>
      <c r="H297">
        <v>3014.17</v>
      </c>
      <c r="I297">
        <v>0.15</v>
      </c>
      <c r="J297">
        <v>2514.38</v>
      </c>
      <c r="K297">
        <v>2562.04</v>
      </c>
      <c r="L297">
        <v>47.66</v>
      </c>
      <c r="M297" t="s">
        <v>18</v>
      </c>
    </row>
    <row r="298" spans="1:13" x14ac:dyDescent="0.3">
      <c r="A298" t="s">
        <v>424</v>
      </c>
      <c r="B298" s="1">
        <v>45874</v>
      </c>
      <c r="C298" t="s">
        <v>30</v>
      </c>
      <c r="D298" t="s">
        <v>54</v>
      </c>
      <c r="E298" t="s">
        <v>55</v>
      </c>
      <c r="F298" t="s">
        <v>17</v>
      </c>
      <c r="G298">
        <v>2</v>
      </c>
      <c r="H298">
        <v>1857.12</v>
      </c>
      <c r="I298">
        <v>0.1</v>
      </c>
      <c r="J298">
        <v>2197.8200000000002</v>
      </c>
      <c r="K298">
        <v>3342.82</v>
      </c>
      <c r="L298">
        <v>1145</v>
      </c>
      <c r="M298" t="s">
        <v>18</v>
      </c>
    </row>
    <row r="299" spans="1:13" x14ac:dyDescent="0.3">
      <c r="A299" t="s">
        <v>425</v>
      </c>
      <c r="B299" s="1">
        <v>46012</v>
      </c>
      <c r="C299" t="s">
        <v>245</v>
      </c>
      <c r="D299" t="s">
        <v>58</v>
      </c>
      <c r="E299" t="s">
        <v>40</v>
      </c>
      <c r="F299" t="s">
        <v>17</v>
      </c>
      <c r="G299">
        <v>4</v>
      </c>
      <c r="H299">
        <v>4505.95</v>
      </c>
      <c r="I299">
        <v>0.2</v>
      </c>
      <c r="J299">
        <v>11703.64</v>
      </c>
      <c r="K299">
        <v>14419.04</v>
      </c>
      <c r="L299">
        <v>2715.4</v>
      </c>
      <c r="M299" t="s">
        <v>28</v>
      </c>
    </row>
    <row r="300" spans="1:13" x14ac:dyDescent="0.3">
      <c r="A300" t="s">
        <v>426</v>
      </c>
      <c r="B300" s="1">
        <v>45998</v>
      </c>
      <c r="C300" t="s">
        <v>427</v>
      </c>
      <c r="D300" t="s">
        <v>39</v>
      </c>
      <c r="E300" t="s">
        <v>40</v>
      </c>
      <c r="F300" t="s">
        <v>22</v>
      </c>
      <c r="G300">
        <v>5</v>
      </c>
      <c r="H300">
        <v>3038.87</v>
      </c>
      <c r="I300">
        <v>0</v>
      </c>
      <c r="J300">
        <v>9237.5</v>
      </c>
      <c r="K300">
        <v>15194.35</v>
      </c>
      <c r="L300">
        <v>5956.85</v>
      </c>
      <c r="M300" t="s">
        <v>36</v>
      </c>
    </row>
    <row r="301" spans="1:13" x14ac:dyDescent="0.3">
      <c r="A301" t="s">
        <v>428</v>
      </c>
      <c r="B301" s="1">
        <v>45663</v>
      </c>
      <c r="C301" t="s">
        <v>84</v>
      </c>
      <c r="D301" t="s">
        <v>58</v>
      </c>
      <c r="E301" t="s">
        <v>40</v>
      </c>
      <c r="F301" t="s">
        <v>51</v>
      </c>
      <c r="G301">
        <v>4</v>
      </c>
      <c r="H301">
        <v>4437.41</v>
      </c>
      <c r="I301">
        <v>0.1</v>
      </c>
      <c r="J301">
        <v>14245.72</v>
      </c>
      <c r="K301">
        <v>15974.68</v>
      </c>
      <c r="L301">
        <v>1728.96</v>
      </c>
      <c r="M301" t="s">
        <v>46</v>
      </c>
    </row>
    <row r="302" spans="1:13" x14ac:dyDescent="0.3">
      <c r="A302" t="s">
        <v>429</v>
      </c>
      <c r="B302" s="1">
        <v>45886</v>
      </c>
      <c r="C302" t="s">
        <v>233</v>
      </c>
      <c r="D302" t="s">
        <v>39</v>
      </c>
      <c r="E302" t="s">
        <v>40</v>
      </c>
      <c r="F302" t="s">
        <v>27</v>
      </c>
      <c r="G302">
        <v>5</v>
      </c>
      <c r="H302">
        <v>3248.15</v>
      </c>
      <c r="I302">
        <v>0.2</v>
      </c>
      <c r="J302">
        <v>11122.05</v>
      </c>
      <c r="K302">
        <v>12992.6</v>
      </c>
      <c r="L302">
        <v>1870.55</v>
      </c>
      <c r="M302" t="s">
        <v>18</v>
      </c>
    </row>
    <row r="303" spans="1:13" x14ac:dyDescent="0.3">
      <c r="A303" t="s">
        <v>430</v>
      </c>
      <c r="B303" s="1">
        <v>45711</v>
      </c>
      <c r="C303" t="s">
        <v>123</v>
      </c>
      <c r="D303" t="s">
        <v>58</v>
      </c>
      <c r="E303" t="s">
        <v>40</v>
      </c>
      <c r="F303" t="s">
        <v>27</v>
      </c>
      <c r="G303">
        <v>5</v>
      </c>
      <c r="H303">
        <v>4072.11</v>
      </c>
      <c r="I303">
        <v>0.05</v>
      </c>
      <c r="J303">
        <v>14315.45</v>
      </c>
      <c r="K303">
        <v>19342.52</v>
      </c>
      <c r="L303">
        <v>5027.07</v>
      </c>
      <c r="M303" t="s">
        <v>36</v>
      </c>
    </row>
    <row r="304" spans="1:13" x14ac:dyDescent="0.3">
      <c r="A304" t="s">
        <v>431</v>
      </c>
      <c r="B304" s="1">
        <v>45763</v>
      </c>
      <c r="C304" t="s">
        <v>432</v>
      </c>
      <c r="D304" t="s">
        <v>15</v>
      </c>
      <c r="E304" t="s">
        <v>16</v>
      </c>
      <c r="F304" t="s">
        <v>27</v>
      </c>
      <c r="G304">
        <v>2</v>
      </c>
      <c r="H304">
        <v>21803.46</v>
      </c>
      <c r="I304">
        <v>0.1</v>
      </c>
      <c r="J304">
        <v>27630.799999999999</v>
      </c>
      <c r="K304">
        <v>39246.230000000003</v>
      </c>
      <c r="L304">
        <v>11615.43</v>
      </c>
      <c r="M304" t="s">
        <v>28</v>
      </c>
    </row>
    <row r="305" spans="1:13" x14ac:dyDescent="0.3">
      <c r="A305" t="s">
        <v>433</v>
      </c>
      <c r="B305" s="1">
        <v>45692</v>
      </c>
      <c r="C305" t="s">
        <v>350</v>
      </c>
      <c r="D305" t="s">
        <v>54</v>
      </c>
      <c r="E305" t="s">
        <v>55</v>
      </c>
      <c r="F305" t="s">
        <v>17</v>
      </c>
      <c r="G305">
        <v>1</v>
      </c>
      <c r="H305">
        <v>1782.88</v>
      </c>
      <c r="I305">
        <v>0.15</v>
      </c>
      <c r="J305">
        <v>1314.9</v>
      </c>
      <c r="K305">
        <v>1515.45</v>
      </c>
      <c r="L305">
        <v>200.55</v>
      </c>
      <c r="M305" t="s">
        <v>36</v>
      </c>
    </row>
    <row r="306" spans="1:13" x14ac:dyDescent="0.3">
      <c r="A306" t="s">
        <v>434</v>
      </c>
      <c r="B306" s="1">
        <v>45782</v>
      </c>
      <c r="C306" t="s">
        <v>432</v>
      </c>
      <c r="D306" t="s">
        <v>21</v>
      </c>
      <c r="E306" t="s">
        <v>16</v>
      </c>
      <c r="F306" t="s">
        <v>22</v>
      </c>
      <c r="G306">
        <v>3</v>
      </c>
      <c r="H306">
        <v>51307.9</v>
      </c>
      <c r="I306">
        <v>0</v>
      </c>
      <c r="J306">
        <v>118682.01</v>
      </c>
      <c r="K306">
        <v>153923.70000000001</v>
      </c>
      <c r="L306">
        <v>35241.69</v>
      </c>
      <c r="M306" t="s">
        <v>46</v>
      </c>
    </row>
    <row r="307" spans="1:13" x14ac:dyDescent="0.3">
      <c r="A307" t="s">
        <v>435</v>
      </c>
      <c r="B307" s="1">
        <v>45865</v>
      </c>
      <c r="C307" t="s">
        <v>275</v>
      </c>
      <c r="D307" t="s">
        <v>34</v>
      </c>
      <c r="E307" t="s">
        <v>35</v>
      </c>
      <c r="F307" t="s">
        <v>22</v>
      </c>
      <c r="G307">
        <v>5</v>
      </c>
      <c r="H307">
        <v>8044.15</v>
      </c>
      <c r="I307">
        <v>0.15</v>
      </c>
      <c r="J307">
        <v>33558.65</v>
      </c>
      <c r="K307">
        <v>34187.64</v>
      </c>
      <c r="L307">
        <v>628.99</v>
      </c>
      <c r="M307" t="s">
        <v>46</v>
      </c>
    </row>
    <row r="308" spans="1:13" x14ac:dyDescent="0.3">
      <c r="A308" t="s">
        <v>436</v>
      </c>
      <c r="B308" s="1">
        <v>45888</v>
      </c>
      <c r="C308" t="s">
        <v>184</v>
      </c>
      <c r="D308" t="s">
        <v>74</v>
      </c>
      <c r="E308" t="s">
        <v>35</v>
      </c>
      <c r="F308" t="s">
        <v>27</v>
      </c>
      <c r="G308">
        <v>4</v>
      </c>
      <c r="H308">
        <v>6998.03</v>
      </c>
      <c r="I308">
        <v>0</v>
      </c>
      <c r="J308">
        <v>19093.04</v>
      </c>
      <c r="K308">
        <v>27992.12</v>
      </c>
      <c r="L308">
        <v>8899.08</v>
      </c>
      <c r="M308" t="s">
        <v>18</v>
      </c>
    </row>
    <row r="309" spans="1:13" x14ac:dyDescent="0.3">
      <c r="A309" t="s">
        <v>437</v>
      </c>
      <c r="B309" s="1">
        <v>45690</v>
      </c>
      <c r="C309" t="s">
        <v>217</v>
      </c>
      <c r="D309" t="s">
        <v>21</v>
      </c>
      <c r="E309" t="s">
        <v>16</v>
      </c>
      <c r="F309" t="s">
        <v>17</v>
      </c>
      <c r="G309">
        <v>2</v>
      </c>
      <c r="H309">
        <v>57241.36</v>
      </c>
      <c r="I309">
        <v>0.05</v>
      </c>
      <c r="J309">
        <v>68154.48</v>
      </c>
      <c r="K309">
        <v>108758.58</v>
      </c>
      <c r="L309">
        <v>40604.1</v>
      </c>
      <c r="M309" t="s">
        <v>46</v>
      </c>
    </row>
    <row r="310" spans="1:13" x14ac:dyDescent="0.3">
      <c r="A310" t="s">
        <v>438</v>
      </c>
      <c r="B310" s="1">
        <v>45908</v>
      </c>
      <c r="C310" t="s">
        <v>222</v>
      </c>
      <c r="D310" t="s">
        <v>34</v>
      </c>
      <c r="E310" t="s">
        <v>35</v>
      </c>
      <c r="F310" t="s">
        <v>51</v>
      </c>
      <c r="G310">
        <v>3</v>
      </c>
      <c r="H310">
        <v>8096</v>
      </c>
      <c r="I310">
        <v>0.05</v>
      </c>
      <c r="J310">
        <v>16941.87</v>
      </c>
      <c r="K310">
        <v>23073.599999999999</v>
      </c>
      <c r="L310">
        <v>6131.73</v>
      </c>
      <c r="M310" t="s">
        <v>18</v>
      </c>
    </row>
    <row r="311" spans="1:13" x14ac:dyDescent="0.3">
      <c r="A311" t="s">
        <v>439</v>
      </c>
      <c r="B311" s="1">
        <v>45892</v>
      </c>
      <c r="C311" t="s">
        <v>108</v>
      </c>
      <c r="D311" t="s">
        <v>58</v>
      </c>
      <c r="E311" t="s">
        <v>40</v>
      </c>
      <c r="F311" t="s">
        <v>22</v>
      </c>
      <c r="G311">
        <v>4</v>
      </c>
      <c r="H311">
        <v>4366.79</v>
      </c>
      <c r="I311">
        <v>0.2</v>
      </c>
      <c r="J311">
        <v>10414.040000000001</v>
      </c>
      <c r="K311">
        <v>13973.73</v>
      </c>
      <c r="L311">
        <v>3559.69</v>
      </c>
      <c r="M311" t="s">
        <v>28</v>
      </c>
    </row>
    <row r="312" spans="1:13" x14ac:dyDescent="0.3">
      <c r="A312" t="s">
        <v>440</v>
      </c>
      <c r="B312" s="1">
        <v>45780</v>
      </c>
      <c r="C312" t="s">
        <v>307</v>
      </c>
      <c r="D312" t="s">
        <v>58</v>
      </c>
      <c r="E312" t="s">
        <v>40</v>
      </c>
      <c r="F312" t="s">
        <v>17</v>
      </c>
      <c r="G312">
        <v>5</v>
      </c>
      <c r="H312">
        <v>4331.87</v>
      </c>
      <c r="I312">
        <v>0</v>
      </c>
      <c r="J312">
        <v>16155.6</v>
      </c>
      <c r="K312">
        <v>21659.35</v>
      </c>
      <c r="L312">
        <v>5503.75</v>
      </c>
      <c r="M312" t="s">
        <v>46</v>
      </c>
    </row>
    <row r="313" spans="1:13" x14ac:dyDescent="0.3">
      <c r="A313" t="s">
        <v>441</v>
      </c>
      <c r="B313" s="1">
        <v>45952</v>
      </c>
      <c r="C313" t="s">
        <v>60</v>
      </c>
      <c r="D313" t="s">
        <v>34</v>
      </c>
      <c r="E313" t="s">
        <v>35</v>
      </c>
      <c r="F313" t="s">
        <v>27</v>
      </c>
      <c r="G313">
        <v>2</v>
      </c>
      <c r="H313">
        <v>8663.92</v>
      </c>
      <c r="I313">
        <v>0.2</v>
      </c>
      <c r="J313">
        <v>11000.96</v>
      </c>
      <c r="K313">
        <v>13862.27</v>
      </c>
      <c r="L313">
        <v>2861.31</v>
      </c>
      <c r="M313" t="s">
        <v>46</v>
      </c>
    </row>
    <row r="314" spans="1:13" x14ac:dyDescent="0.3">
      <c r="A314" t="s">
        <v>442</v>
      </c>
      <c r="B314" s="1">
        <v>45729</v>
      </c>
      <c r="C314" t="s">
        <v>191</v>
      </c>
      <c r="D314" t="s">
        <v>54</v>
      </c>
      <c r="E314" t="s">
        <v>55</v>
      </c>
      <c r="F314" t="s">
        <v>51</v>
      </c>
      <c r="G314">
        <v>5</v>
      </c>
      <c r="H314">
        <v>1796.27</v>
      </c>
      <c r="I314">
        <v>0.05</v>
      </c>
      <c r="J314">
        <v>6198.55</v>
      </c>
      <c r="K314">
        <v>8532.2800000000007</v>
      </c>
      <c r="L314">
        <v>2333.73</v>
      </c>
      <c r="M314" t="s">
        <v>18</v>
      </c>
    </row>
    <row r="315" spans="1:13" x14ac:dyDescent="0.3">
      <c r="A315" t="s">
        <v>443</v>
      </c>
      <c r="B315" s="1">
        <v>45757</v>
      </c>
      <c r="C315" t="s">
        <v>60</v>
      </c>
      <c r="D315" t="s">
        <v>58</v>
      </c>
      <c r="E315" t="s">
        <v>40</v>
      </c>
      <c r="F315" t="s">
        <v>27</v>
      </c>
      <c r="G315">
        <v>1</v>
      </c>
      <c r="H315">
        <v>4486.1499999999996</v>
      </c>
      <c r="I315">
        <v>0.1</v>
      </c>
      <c r="J315">
        <v>3545.82</v>
      </c>
      <c r="K315">
        <v>4037.53</v>
      </c>
      <c r="L315">
        <v>491.71</v>
      </c>
      <c r="M315" t="s">
        <v>18</v>
      </c>
    </row>
    <row r="316" spans="1:13" x14ac:dyDescent="0.3">
      <c r="A316" t="s">
        <v>444</v>
      </c>
      <c r="B316" s="1">
        <v>45673</v>
      </c>
      <c r="C316" t="s">
        <v>370</v>
      </c>
      <c r="D316" t="s">
        <v>54</v>
      </c>
      <c r="E316" t="s">
        <v>55</v>
      </c>
      <c r="F316" t="s">
        <v>22</v>
      </c>
      <c r="G316">
        <v>4</v>
      </c>
      <c r="H316">
        <v>1649.76</v>
      </c>
      <c r="I316">
        <v>0.15</v>
      </c>
      <c r="J316">
        <v>4839.6400000000003</v>
      </c>
      <c r="K316">
        <v>5609.18</v>
      </c>
      <c r="L316">
        <v>769.54</v>
      </c>
      <c r="M316" t="s">
        <v>28</v>
      </c>
    </row>
    <row r="317" spans="1:13" x14ac:dyDescent="0.3">
      <c r="A317" t="s">
        <v>445</v>
      </c>
      <c r="B317" s="1">
        <v>45892</v>
      </c>
      <c r="C317" t="s">
        <v>92</v>
      </c>
      <c r="D317" t="s">
        <v>21</v>
      </c>
      <c r="E317" t="s">
        <v>16</v>
      </c>
      <c r="F317" t="s">
        <v>27</v>
      </c>
      <c r="G317">
        <v>3</v>
      </c>
      <c r="H317">
        <v>51350.3</v>
      </c>
      <c r="I317">
        <v>0.05</v>
      </c>
      <c r="J317">
        <v>112926.36</v>
      </c>
      <c r="K317">
        <v>146348.35999999999</v>
      </c>
      <c r="L317">
        <v>33422</v>
      </c>
      <c r="M317" t="s">
        <v>36</v>
      </c>
    </row>
    <row r="318" spans="1:13" x14ac:dyDescent="0.3">
      <c r="A318" t="s">
        <v>446</v>
      </c>
      <c r="B318" s="1">
        <v>45845</v>
      </c>
      <c r="C318" t="s">
        <v>66</v>
      </c>
      <c r="D318" t="s">
        <v>58</v>
      </c>
      <c r="E318" t="s">
        <v>40</v>
      </c>
      <c r="F318" t="s">
        <v>17</v>
      </c>
      <c r="G318">
        <v>1</v>
      </c>
      <c r="H318">
        <v>4790.95</v>
      </c>
      <c r="I318">
        <v>0.1</v>
      </c>
      <c r="J318">
        <v>3347</v>
      </c>
      <c r="K318">
        <v>4311.8500000000004</v>
      </c>
      <c r="L318">
        <v>964.85</v>
      </c>
      <c r="M318" t="s">
        <v>18</v>
      </c>
    </row>
    <row r="319" spans="1:13" x14ac:dyDescent="0.3">
      <c r="A319" t="s">
        <v>447</v>
      </c>
      <c r="B319" s="1">
        <v>45784</v>
      </c>
      <c r="C319" t="s">
        <v>350</v>
      </c>
      <c r="D319" t="s">
        <v>39</v>
      </c>
      <c r="E319" t="s">
        <v>40</v>
      </c>
      <c r="F319" t="s">
        <v>17</v>
      </c>
      <c r="G319">
        <v>2</v>
      </c>
      <c r="H319">
        <v>3411.25</v>
      </c>
      <c r="I319">
        <v>0.15</v>
      </c>
      <c r="J319">
        <v>3683.86</v>
      </c>
      <c r="K319">
        <v>5799.12</v>
      </c>
      <c r="L319">
        <v>2115.2600000000002</v>
      </c>
      <c r="M319" t="s">
        <v>18</v>
      </c>
    </row>
    <row r="320" spans="1:13" x14ac:dyDescent="0.3">
      <c r="A320" t="s">
        <v>448</v>
      </c>
      <c r="B320" s="1">
        <v>45779</v>
      </c>
      <c r="C320" t="s">
        <v>449</v>
      </c>
      <c r="D320" t="s">
        <v>31</v>
      </c>
      <c r="E320" t="s">
        <v>26</v>
      </c>
      <c r="F320" t="s">
        <v>51</v>
      </c>
      <c r="G320">
        <v>3</v>
      </c>
      <c r="H320">
        <v>988.91</v>
      </c>
      <c r="I320">
        <v>0</v>
      </c>
      <c r="J320">
        <v>1781.37</v>
      </c>
      <c r="K320">
        <v>2966.73</v>
      </c>
      <c r="L320">
        <v>1185.3599999999999</v>
      </c>
      <c r="M320" t="s">
        <v>18</v>
      </c>
    </row>
    <row r="321" spans="1:13" x14ac:dyDescent="0.3">
      <c r="A321" t="s">
        <v>450</v>
      </c>
      <c r="B321" s="1">
        <v>45688</v>
      </c>
      <c r="C321" t="s">
        <v>92</v>
      </c>
      <c r="D321" t="s">
        <v>45</v>
      </c>
      <c r="E321" t="s">
        <v>16</v>
      </c>
      <c r="F321" t="s">
        <v>51</v>
      </c>
      <c r="G321">
        <v>5</v>
      </c>
      <c r="H321">
        <v>2656.76</v>
      </c>
      <c r="I321">
        <v>0.05</v>
      </c>
      <c r="J321">
        <v>9327.65</v>
      </c>
      <c r="K321">
        <v>12619.61</v>
      </c>
      <c r="L321">
        <v>3291.96</v>
      </c>
      <c r="M321" t="s">
        <v>28</v>
      </c>
    </row>
    <row r="322" spans="1:13" x14ac:dyDescent="0.3">
      <c r="A322" t="s">
        <v>451</v>
      </c>
      <c r="B322" s="1">
        <v>45806</v>
      </c>
      <c r="C322" t="s">
        <v>217</v>
      </c>
      <c r="D322" t="s">
        <v>58</v>
      </c>
      <c r="E322" t="s">
        <v>40</v>
      </c>
      <c r="F322" t="s">
        <v>51</v>
      </c>
      <c r="G322">
        <v>5</v>
      </c>
      <c r="H322">
        <v>4683.6499999999996</v>
      </c>
      <c r="I322">
        <v>0.05</v>
      </c>
      <c r="J322">
        <v>14195.55</v>
      </c>
      <c r="K322">
        <v>22247.34</v>
      </c>
      <c r="L322">
        <v>8051.79</v>
      </c>
      <c r="M322" t="s">
        <v>36</v>
      </c>
    </row>
    <row r="323" spans="1:13" x14ac:dyDescent="0.3">
      <c r="A323" t="s">
        <v>452</v>
      </c>
      <c r="B323" s="1">
        <v>45722</v>
      </c>
      <c r="C323" t="s">
        <v>24</v>
      </c>
      <c r="D323" t="s">
        <v>45</v>
      </c>
      <c r="E323" t="s">
        <v>16</v>
      </c>
      <c r="F323" t="s">
        <v>22</v>
      </c>
      <c r="G323">
        <v>4</v>
      </c>
      <c r="H323">
        <v>2683.52</v>
      </c>
      <c r="I323">
        <v>0</v>
      </c>
      <c r="J323">
        <v>7981.2</v>
      </c>
      <c r="K323">
        <v>10734.08</v>
      </c>
      <c r="L323">
        <v>2752.88</v>
      </c>
      <c r="M323" t="s">
        <v>46</v>
      </c>
    </row>
    <row r="324" spans="1:13" x14ac:dyDescent="0.3">
      <c r="A324" t="s">
        <v>453</v>
      </c>
      <c r="B324" s="1">
        <v>45908</v>
      </c>
      <c r="C324" t="s">
        <v>237</v>
      </c>
      <c r="D324" t="s">
        <v>45</v>
      </c>
      <c r="E324" t="s">
        <v>16</v>
      </c>
      <c r="F324" t="s">
        <v>51</v>
      </c>
      <c r="G324">
        <v>3</v>
      </c>
      <c r="H324">
        <v>2588.12</v>
      </c>
      <c r="I324">
        <v>0.05</v>
      </c>
      <c r="J324">
        <v>5552.76</v>
      </c>
      <c r="K324">
        <v>7376.14</v>
      </c>
      <c r="L324">
        <v>1823.38</v>
      </c>
      <c r="M324" t="s">
        <v>18</v>
      </c>
    </row>
    <row r="325" spans="1:13" x14ac:dyDescent="0.3">
      <c r="A325" t="s">
        <v>454</v>
      </c>
      <c r="B325" s="1">
        <v>45705</v>
      </c>
      <c r="C325" t="s">
        <v>366</v>
      </c>
      <c r="D325" t="s">
        <v>74</v>
      </c>
      <c r="E325" t="s">
        <v>35</v>
      </c>
      <c r="F325" t="s">
        <v>51</v>
      </c>
      <c r="G325">
        <v>4</v>
      </c>
      <c r="H325">
        <v>6994.16</v>
      </c>
      <c r="I325">
        <v>0</v>
      </c>
      <c r="J325">
        <v>18418.599999999999</v>
      </c>
      <c r="K325">
        <v>27976.639999999999</v>
      </c>
      <c r="L325">
        <v>9558.0400000000009</v>
      </c>
      <c r="M325" t="s">
        <v>28</v>
      </c>
    </row>
    <row r="326" spans="1:13" x14ac:dyDescent="0.3">
      <c r="A326" t="s">
        <v>455</v>
      </c>
      <c r="B326" s="1">
        <v>45705</v>
      </c>
      <c r="C326" t="s">
        <v>117</v>
      </c>
      <c r="D326" t="s">
        <v>54</v>
      </c>
      <c r="E326" t="s">
        <v>55</v>
      </c>
      <c r="F326" t="s">
        <v>27</v>
      </c>
      <c r="G326">
        <v>4</v>
      </c>
      <c r="H326">
        <v>1932.81</v>
      </c>
      <c r="I326">
        <v>0.1</v>
      </c>
      <c r="J326">
        <v>5007.5200000000004</v>
      </c>
      <c r="K326">
        <v>6958.12</v>
      </c>
      <c r="L326">
        <v>1950.6</v>
      </c>
      <c r="M326" t="s">
        <v>28</v>
      </c>
    </row>
    <row r="327" spans="1:13" x14ac:dyDescent="0.3">
      <c r="A327" t="s">
        <v>456</v>
      </c>
      <c r="B327" s="1">
        <v>45766</v>
      </c>
      <c r="C327" t="s">
        <v>57</v>
      </c>
      <c r="D327" t="s">
        <v>15</v>
      </c>
      <c r="E327" t="s">
        <v>16</v>
      </c>
      <c r="F327" t="s">
        <v>51</v>
      </c>
      <c r="G327">
        <v>5</v>
      </c>
      <c r="H327">
        <v>21690.43</v>
      </c>
      <c r="I327">
        <v>0.15</v>
      </c>
      <c r="J327">
        <v>66490.3</v>
      </c>
      <c r="K327">
        <v>92184.33</v>
      </c>
      <c r="L327">
        <v>25694.03</v>
      </c>
      <c r="M327" t="s">
        <v>28</v>
      </c>
    </row>
    <row r="328" spans="1:13" x14ac:dyDescent="0.3">
      <c r="A328" t="s">
        <v>457</v>
      </c>
      <c r="B328" s="1">
        <v>45906</v>
      </c>
      <c r="C328" t="s">
        <v>160</v>
      </c>
      <c r="D328" t="s">
        <v>31</v>
      </c>
      <c r="E328" t="s">
        <v>26</v>
      </c>
      <c r="F328" t="s">
        <v>17</v>
      </c>
      <c r="G328">
        <v>3</v>
      </c>
      <c r="H328">
        <v>911.91</v>
      </c>
      <c r="I328">
        <v>0.2</v>
      </c>
      <c r="J328">
        <v>1875.12</v>
      </c>
      <c r="K328">
        <v>2188.58</v>
      </c>
      <c r="L328">
        <v>313.45999999999998</v>
      </c>
      <c r="M328" t="s">
        <v>36</v>
      </c>
    </row>
    <row r="329" spans="1:13" x14ac:dyDescent="0.3">
      <c r="A329" t="s">
        <v>458</v>
      </c>
      <c r="B329" s="1">
        <v>45883</v>
      </c>
      <c r="C329" t="s">
        <v>348</v>
      </c>
      <c r="D329" t="s">
        <v>15</v>
      </c>
      <c r="E329" t="s">
        <v>16</v>
      </c>
      <c r="F329" t="s">
        <v>17</v>
      </c>
      <c r="G329">
        <v>4</v>
      </c>
      <c r="H329">
        <v>23573.67</v>
      </c>
      <c r="I329">
        <v>0</v>
      </c>
      <c r="J329">
        <v>51133.2</v>
      </c>
      <c r="K329">
        <v>94294.68</v>
      </c>
      <c r="L329">
        <v>43161.48</v>
      </c>
      <c r="M329" t="s">
        <v>18</v>
      </c>
    </row>
    <row r="330" spans="1:13" x14ac:dyDescent="0.3">
      <c r="A330" t="s">
        <v>459</v>
      </c>
      <c r="B330" s="1">
        <v>45798</v>
      </c>
      <c r="C330" t="s">
        <v>129</v>
      </c>
      <c r="D330" t="s">
        <v>25</v>
      </c>
      <c r="E330" t="s">
        <v>26</v>
      </c>
      <c r="F330" t="s">
        <v>51</v>
      </c>
      <c r="G330">
        <v>2</v>
      </c>
      <c r="H330">
        <v>1955.78</v>
      </c>
      <c r="I330">
        <v>0.1</v>
      </c>
      <c r="J330">
        <v>2123.08</v>
      </c>
      <c r="K330">
        <v>3520.4</v>
      </c>
      <c r="L330">
        <v>1397.32</v>
      </c>
      <c r="M330" t="s">
        <v>28</v>
      </c>
    </row>
    <row r="331" spans="1:13" x14ac:dyDescent="0.3">
      <c r="A331" t="s">
        <v>460</v>
      </c>
      <c r="B331" s="1">
        <v>46016</v>
      </c>
      <c r="C331" t="s">
        <v>172</v>
      </c>
      <c r="D331" t="s">
        <v>15</v>
      </c>
      <c r="E331" t="s">
        <v>16</v>
      </c>
      <c r="F331" t="s">
        <v>22</v>
      </c>
      <c r="G331">
        <v>3</v>
      </c>
      <c r="H331">
        <v>22552.66</v>
      </c>
      <c r="I331">
        <v>0.05</v>
      </c>
      <c r="J331">
        <v>37154.49</v>
      </c>
      <c r="K331">
        <v>64275.08</v>
      </c>
      <c r="L331">
        <v>27120.59</v>
      </c>
      <c r="M331" t="s">
        <v>18</v>
      </c>
    </row>
    <row r="332" spans="1:13" x14ac:dyDescent="0.3">
      <c r="A332" t="s">
        <v>461</v>
      </c>
      <c r="B332" s="1">
        <v>45961</v>
      </c>
      <c r="C332" t="s">
        <v>73</v>
      </c>
      <c r="D332" t="s">
        <v>15</v>
      </c>
      <c r="E332" t="s">
        <v>16</v>
      </c>
      <c r="F332" t="s">
        <v>27</v>
      </c>
      <c r="G332">
        <v>1</v>
      </c>
      <c r="H332">
        <v>20142.93</v>
      </c>
      <c r="I332">
        <v>0</v>
      </c>
      <c r="J332">
        <v>13273.82</v>
      </c>
      <c r="K332">
        <v>20142.93</v>
      </c>
      <c r="L332">
        <v>6869.11</v>
      </c>
      <c r="M332" t="s">
        <v>36</v>
      </c>
    </row>
    <row r="333" spans="1:13" x14ac:dyDescent="0.3">
      <c r="A333" t="s">
        <v>462</v>
      </c>
      <c r="B333" s="1">
        <v>45725</v>
      </c>
      <c r="C333" t="s">
        <v>363</v>
      </c>
      <c r="D333" t="s">
        <v>21</v>
      </c>
      <c r="E333" t="s">
        <v>16</v>
      </c>
      <c r="F333" t="s">
        <v>17</v>
      </c>
      <c r="G333">
        <v>3</v>
      </c>
      <c r="H333">
        <v>54145.45</v>
      </c>
      <c r="I333">
        <v>0</v>
      </c>
      <c r="J333">
        <v>131511.39000000001</v>
      </c>
      <c r="K333">
        <v>162436.35</v>
      </c>
      <c r="L333">
        <v>30924.959999999999</v>
      </c>
      <c r="M333" t="s">
        <v>46</v>
      </c>
    </row>
    <row r="334" spans="1:13" x14ac:dyDescent="0.3">
      <c r="A334" t="s">
        <v>463</v>
      </c>
      <c r="B334" s="1">
        <v>45811</v>
      </c>
      <c r="C334" t="s">
        <v>82</v>
      </c>
      <c r="D334" t="s">
        <v>74</v>
      </c>
      <c r="E334" t="s">
        <v>35</v>
      </c>
      <c r="F334" t="s">
        <v>27</v>
      </c>
      <c r="G334">
        <v>1</v>
      </c>
      <c r="H334">
        <v>6327.83</v>
      </c>
      <c r="I334">
        <v>0</v>
      </c>
      <c r="J334">
        <v>3742.7</v>
      </c>
      <c r="K334">
        <v>6327.83</v>
      </c>
      <c r="L334">
        <v>2585.13</v>
      </c>
      <c r="M334" t="s">
        <v>46</v>
      </c>
    </row>
    <row r="335" spans="1:13" x14ac:dyDescent="0.3">
      <c r="A335" t="s">
        <v>464</v>
      </c>
      <c r="B335" s="1">
        <v>45742</v>
      </c>
      <c r="C335" t="s">
        <v>127</v>
      </c>
      <c r="D335" t="s">
        <v>45</v>
      </c>
      <c r="E335" t="s">
        <v>16</v>
      </c>
      <c r="F335" t="s">
        <v>51</v>
      </c>
      <c r="G335">
        <v>1</v>
      </c>
      <c r="H335">
        <v>2555.16</v>
      </c>
      <c r="I335">
        <v>0.2</v>
      </c>
      <c r="J335">
        <v>1727.06</v>
      </c>
      <c r="K335">
        <v>2044.13</v>
      </c>
      <c r="L335">
        <v>317.07</v>
      </c>
      <c r="M335" t="s">
        <v>46</v>
      </c>
    </row>
    <row r="336" spans="1:13" x14ac:dyDescent="0.3">
      <c r="A336" t="s">
        <v>465</v>
      </c>
      <c r="B336" s="1">
        <v>45702</v>
      </c>
      <c r="C336" t="s">
        <v>84</v>
      </c>
      <c r="D336" t="s">
        <v>45</v>
      </c>
      <c r="E336" t="s">
        <v>16</v>
      </c>
      <c r="F336" t="s">
        <v>22</v>
      </c>
      <c r="G336">
        <v>4</v>
      </c>
      <c r="H336">
        <v>2679.98</v>
      </c>
      <c r="I336">
        <v>0.2</v>
      </c>
      <c r="J336">
        <v>7216.4</v>
      </c>
      <c r="K336">
        <v>8575.94</v>
      </c>
      <c r="L336">
        <v>1359.54</v>
      </c>
      <c r="M336" t="s">
        <v>36</v>
      </c>
    </row>
    <row r="337" spans="1:13" x14ac:dyDescent="0.3">
      <c r="A337" t="s">
        <v>466</v>
      </c>
      <c r="B337" s="1">
        <v>45729</v>
      </c>
      <c r="C337" t="s">
        <v>133</v>
      </c>
      <c r="D337" t="s">
        <v>58</v>
      </c>
      <c r="E337" t="s">
        <v>40</v>
      </c>
      <c r="F337" t="s">
        <v>51</v>
      </c>
      <c r="G337">
        <v>4</v>
      </c>
      <c r="H337">
        <v>4333.05</v>
      </c>
      <c r="I337">
        <v>0.1</v>
      </c>
      <c r="J337">
        <v>14234.6</v>
      </c>
      <c r="K337">
        <v>15598.98</v>
      </c>
      <c r="L337">
        <v>1364.38</v>
      </c>
      <c r="M337" t="s">
        <v>36</v>
      </c>
    </row>
    <row r="338" spans="1:13" x14ac:dyDescent="0.3">
      <c r="A338" t="s">
        <v>467</v>
      </c>
      <c r="B338" s="1">
        <v>46011</v>
      </c>
      <c r="C338" t="s">
        <v>115</v>
      </c>
      <c r="D338" t="s">
        <v>25</v>
      </c>
      <c r="E338" t="s">
        <v>26</v>
      </c>
      <c r="F338" t="s">
        <v>51</v>
      </c>
      <c r="G338">
        <v>5</v>
      </c>
      <c r="H338">
        <v>1838.73</v>
      </c>
      <c r="I338">
        <v>0.2</v>
      </c>
      <c r="J338">
        <v>6300</v>
      </c>
      <c r="K338">
        <v>7354.92</v>
      </c>
      <c r="L338">
        <v>1054.92</v>
      </c>
      <c r="M338" t="s">
        <v>46</v>
      </c>
    </row>
    <row r="339" spans="1:13" x14ac:dyDescent="0.3">
      <c r="A339" t="s">
        <v>468</v>
      </c>
      <c r="B339" s="1">
        <v>45988</v>
      </c>
      <c r="C339" t="s">
        <v>174</v>
      </c>
      <c r="D339" t="s">
        <v>39</v>
      </c>
      <c r="E339" t="s">
        <v>40</v>
      </c>
      <c r="F339" t="s">
        <v>22</v>
      </c>
      <c r="G339">
        <v>5</v>
      </c>
      <c r="H339">
        <v>3130.72</v>
      </c>
      <c r="I339">
        <v>0.2</v>
      </c>
      <c r="J339">
        <v>9554.6</v>
      </c>
      <c r="K339">
        <v>12522.88</v>
      </c>
      <c r="L339">
        <v>2968.28</v>
      </c>
      <c r="M339" t="s">
        <v>18</v>
      </c>
    </row>
    <row r="340" spans="1:13" x14ac:dyDescent="0.3">
      <c r="A340" t="s">
        <v>469</v>
      </c>
      <c r="B340" s="1">
        <v>45928</v>
      </c>
      <c r="C340" t="s">
        <v>470</v>
      </c>
      <c r="D340" t="s">
        <v>74</v>
      </c>
      <c r="E340" t="s">
        <v>35</v>
      </c>
      <c r="F340" t="s">
        <v>51</v>
      </c>
      <c r="G340">
        <v>1</v>
      </c>
      <c r="H340">
        <v>6622.11</v>
      </c>
      <c r="I340">
        <v>0.05</v>
      </c>
      <c r="J340">
        <v>4386.82</v>
      </c>
      <c r="K340">
        <v>6291</v>
      </c>
      <c r="L340">
        <v>1904.18</v>
      </c>
      <c r="M340" t="s">
        <v>28</v>
      </c>
    </row>
    <row r="341" spans="1:13" x14ac:dyDescent="0.3">
      <c r="A341" t="s">
        <v>471</v>
      </c>
      <c r="B341" s="1">
        <v>45746</v>
      </c>
      <c r="C341" t="s">
        <v>370</v>
      </c>
      <c r="D341" t="s">
        <v>45</v>
      </c>
      <c r="E341" t="s">
        <v>16</v>
      </c>
      <c r="F341" t="s">
        <v>27</v>
      </c>
      <c r="G341">
        <v>4</v>
      </c>
      <c r="H341">
        <v>2523.1799999999998</v>
      </c>
      <c r="I341">
        <v>0.2</v>
      </c>
      <c r="J341">
        <v>6552.16</v>
      </c>
      <c r="K341">
        <v>8074.18</v>
      </c>
      <c r="L341">
        <v>1522.02</v>
      </c>
      <c r="M341" t="s">
        <v>36</v>
      </c>
    </row>
    <row r="342" spans="1:13" x14ac:dyDescent="0.3">
      <c r="A342" t="s">
        <v>472</v>
      </c>
      <c r="B342" s="1">
        <v>45688</v>
      </c>
      <c r="C342" t="s">
        <v>157</v>
      </c>
      <c r="D342" t="s">
        <v>21</v>
      </c>
      <c r="E342" t="s">
        <v>16</v>
      </c>
      <c r="F342" t="s">
        <v>51</v>
      </c>
      <c r="G342">
        <v>5</v>
      </c>
      <c r="H342">
        <v>51873.17</v>
      </c>
      <c r="I342">
        <v>0</v>
      </c>
      <c r="J342">
        <v>152198.29999999999</v>
      </c>
      <c r="K342">
        <v>259365.85</v>
      </c>
      <c r="L342">
        <v>107167.55</v>
      </c>
      <c r="M342" t="s">
        <v>18</v>
      </c>
    </row>
    <row r="343" spans="1:13" x14ac:dyDescent="0.3">
      <c r="A343" t="s">
        <v>473</v>
      </c>
      <c r="B343" s="1">
        <v>45736</v>
      </c>
      <c r="C343" t="s">
        <v>42</v>
      </c>
      <c r="D343" t="s">
        <v>74</v>
      </c>
      <c r="E343" t="s">
        <v>35</v>
      </c>
      <c r="F343" t="s">
        <v>17</v>
      </c>
      <c r="G343">
        <v>4</v>
      </c>
      <c r="H343">
        <v>6548.95</v>
      </c>
      <c r="I343">
        <v>0</v>
      </c>
      <c r="J343">
        <v>18463.48</v>
      </c>
      <c r="K343">
        <v>26195.8</v>
      </c>
      <c r="L343">
        <v>7732.32</v>
      </c>
      <c r="M343" t="s">
        <v>28</v>
      </c>
    </row>
    <row r="344" spans="1:13" x14ac:dyDescent="0.3">
      <c r="A344" t="s">
        <v>474</v>
      </c>
      <c r="B344" s="1">
        <v>45825</v>
      </c>
      <c r="C344" t="s">
        <v>157</v>
      </c>
      <c r="D344" t="s">
        <v>15</v>
      </c>
      <c r="E344" t="s">
        <v>16</v>
      </c>
      <c r="F344" t="s">
        <v>17</v>
      </c>
      <c r="G344">
        <v>5</v>
      </c>
      <c r="H344">
        <v>20483.66</v>
      </c>
      <c r="I344">
        <v>0.05</v>
      </c>
      <c r="J344">
        <v>87293.6</v>
      </c>
      <c r="K344">
        <v>97297.38</v>
      </c>
      <c r="L344">
        <v>10003.780000000001</v>
      </c>
      <c r="M344" t="s">
        <v>28</v>
      </c>
    </row>
    <row r="345" spans="1:13" x14ac:dyDescent="0.3">
      <c r="A345" t="s">
        <v>475</v>
      </c>
      <c r="B345" s="1">
        <v>45717</v>
      </c>
      <c r="C345" t="s">
        <v>348</v>
      </c>
      <c r="D345" t="s">
        <v>74</v>
      </c>
      <c r="E345" t="s">
        <v>35</v>
      </c>
      <c r="F345" t="s">
        <v>17</v>
      </c>
      <c r="G345">
        <v>2</v>
      </c>
      <c r="H345">
        <v>7052.02</v>
      </c>
      <c r="I345">
        <v>0</v>
      </c>
      <c r="J345">
        <v>7944.56</v>
      </c>
      <c r="K345">
        <v>14104.04</v>
      </c>
      <c r="L345">
        <v>6159.48</v>
      </c>
      <c r="M345" t="s">
        <v>28</v>
      </c>
    </row>
    <row r="346" spans="1:13" x14ac:dyDescent="0.3">
      <c r="A346" t="s">
        <v>476</v>
      </c>
      <c r="B346" s="1">
        <v>45741</v>
      </c>
      <c r="C346" t="s">
        <v>57</v>
      </c>
      <c r="D346" t="s">
        <v>45</v>
      </c>
      <c r="E346" t="s">
        <v>16</v>
      </c>
      <c r="F346" t="s">
        <v>51</v>
      </c>
      <c r="G346">
        <v>1</v>
      </c>
      <c r="H346">
        <v>2600.75</v>
      </c>
      <c r="I346">
        <v>0</v>
      </c>
      <c r="J346">
        <v>1817.44</v>
      </c>
      <c r="K346">
        <v>2600.75</v>
      </c>
      <c r="L346">
        <v>783.31</v>
      </c>
      <c r="M346" t="s">
        <v>28</v>
      </c>
    </row>
    <row r="347" spans="1:13" x14ac:dyDescent="0.3">
      <c r="A347" t="s">
        <v>477</v>
      </c>
      <c r="B347" s="1">
        <v>45718</v>
      </c>
      <c r="C347" t="s">
        <v>70</v>
      </c>
      <c r="D347" t="s">
        <v>45</v>
      </c>
      <c r="E347" t="s">
        <v>16</v>
      </c>
      <c r="F347" t="s">
        <v>17</v>
      </c>
      <c r="G347">
        <v>3</v>
      </c>
      <c r="H347">
        <v>2686.73</v>
      </c>
      <c r="I347">
        <v>0.05</v>
      </c>
      <c r="J347">
        <v>5530.83</v>
      </c>
      <c r="K347">
        <v>7657.18</v>
      </c>
      <c r="L347">
        <v>2126.35</v>
      </c>
      <c r="M347" t="s">
        <v>28</v>
      </c>
    </row>
    <row r="348" spans="1:13" x14ac:dyDescent="0.3">
      <c r="A348" t="s">
        <v>478</v>
      </c>
      <c r="B348" s="1">
        <v>45953</v>
      </c>
      <c r="C348" t="s">
        <v>275</v>
      </c>
      <c r="D348" t="s">
        <v>74</v>
      </c>
      <c r="E348" t="s">
        <v>35</v>
      </c>
      <c r="F348" t="s">
        <v>17</v>
      </c>
      <c r="G348">
        <v>3</v>
      </c>
      <c r="H348">
        <v>6776.02</v>
      </c>
      <c r="I348">
        <v>0.2</v>
      </c>
      <c r="J348">
        <v>11036.37</v>
      </c>
      <c r="K348">
        <v>16262.45</v>
      </c>
      <c r="L348">
        <v>5226.08</v>
      </c>
      <c r="M348" t="s">
        <v>18</v>
      </c>
    </row>
    <row r="349" spans="1:13" x14ac:dyDescent="0.3">
      <c r="A349" t="s">
        <v>479</v>
      </c>
      <c r="B349" s="1">
        <v>45743</v>
      </c>
      <c r="C349" t="s">
        <v>233</v>
      </c>
      <c r="D349" t="s">
        <v>54</v>
      </c>
      <c r="E349" t="s">
        <v>55</v>
      </c>
      <c r="F349" t="s">
        <v>22</v>
      </c>
      <c r="G349">
        <v>5</v>
      </c>
      <c r="H349">
        <v>1929.37</v>
      </c>
      <c r="I349">
        <v>0.1</v>
      </c>
      <c r="J349">
        <v>5074.75</v>
      </c>
      <c r="K349">
        <v>8682.16</v>
      </c>
      <c r="L349">
        <v>3607.41</v>
      </c>
      <c r="M349" t="s">
        <v>28</v>
      </c>
    </row>
    <row r="350" spans="1:13" x14ac:dyDescent="0.3">
      <c r="A350" t="s">
        <v>480</v>
      </c>
      <c r="B350" s="1">
        <v>45680</v>
      </c>
      <c r="C350" t="s">
        <v>470</v>
      </c>
      <c r="D350" t="s">
        <v>15</v>
      </c>
      <c r="E350" t="s">
        <v>16</v>
      </c>
      <c r="F350" t="s">
        <v>22</v>
      </c>
      <c r="G350">
        <v>5</v>
      </c>
      <c r="H350">
        <v>22038.83</v>
      </c>
      <c r="I350">
        <v>0</v>
      </c>
      <c r="J350">
        <v>66781.100000000006</v>
      </c>
      <c r="K350">
        <v>110194.15</v>
      </c>
      <c r="L350">
        <v>43413.05</v>
      </c>
      <c r="M350" t="s">
        <v>36</v>
      </c>
    </row>
    <row r="351" spans="1:13" x14ac:dyDescent="0.3">
      <c r="A351" t="s">
        <v>481</v>
      </c>
      <c r="B351" s="1">
        <v>45676</v>
      </c>
      <c r="C351" t="s">
        <v>180</v>
      </c>
      <c r="D351" t="s">
        <v>54</v>
      </c>
      <c r="E351" t="s">
        <v>55</v>
      </c>
      <c r="F351" t="s">
        <v>27</v>
      </c>
      <c r="G351">
        <v>3</v>
      </c>
      <c r="H351">
        <v>1684.43</v>
      </c>
      <c r="I351">
        <v>0.15</v>
      </c>
      <c r="J351">
        <v>4212.3</v>
      </c>
      <c r="K351">
        <v>4295.3</v>
      </c>
      <c r="L351">
        <v>83</v>
      </c>
      <c r="M351" t="s">
        <v>46</v>
      </c>
    </row>
    <row r="352" spans="1:13" x14ac:dyDescent="0.3">
      <c r="A352" t="s">
        <v>482</v>
      </c>
      <c r="B352" s="1">
        <v>45697</v>
      </c>
      <c r="C352" t="s">
        <v>217</v>
      </c>
      <c r="D352" t="s">
        <v>34</v>
      </c>
      <c r="E352" t="s">
        <v>35</v>
      </c>
      <c r="F352" t="s">
        <v>51</v>
      </c>
      <c r="G352">
        <v>2</v>
      </c>
      <c r="H352">
        <v>8193.89</v>
      </c>
      <c r="I352">
        <v>0.15</v>
      </c>
      <c r="J352">
        <v>13242.38</v>
      </c>
      <c r="K352">
        <v>13929.61</v>
      </c>
      <c r="L352">
        <v>687.23</v>
      </c>
      <c r="M352" t="s">
        <v>36</v>
      </c>
    </row>
    <row r="353" spans="1:13" x14ac:dyDescent="0.3">
      <c r="A353" t="s">
        <v>483</v>
      </c>
      <c r="B353" s="1">
        <v>45681</v>
      </c>
      <c r="C353" t="s">
        <v>366</v>
      </c>
      <c r="D353" t="s">
        <v>39</v>
      </c>
      <c r="E353" t="s">
        <v>40</v>
      </c>
      <c r="F353" t="s">
        <v>17</v>
      </c>
      <c r="G353">
        <v>1</v>
      </c>
      <c r="H353">
        <v>3210.1</v>
      </c>
      <c r="I353">
        <v>0.05</v>
      </c>
      <c r="J353">
        <v>1938.55</v>
      </c>
      <c r="K353">
        <v>3049.59</v>
      </c>
      <c r="L353">
        <v>1111.04</v>
      </c>
      <c r="M353" t="s">
        <v>18</v>
      </c>
    </row>
    <row r="354" spans="1:13" x14ac:dyDescent="0.3">
      <c r="A354" t="s">
        <v>484</v>
      </c>
      <c r="B354" s="1">
        <v>45846</v>
      </c>
      <c r="C354" t="s">
        <v>112</v>
      </c>
      <c r="D354" t="s">
        <v>31</v>
      </c>
      <c r="E354" t="s">
        <v>26</v>
      </c>
      <c r="F354" t="s">
        <v>51</v>
      </c>
      <c r="G354">
        <v>3</v>
      </c>
      <c r="H354">
        <v>892.21</v>
      </c>
      <c r="I354">
        <v>0.1</v>
      </c>
      <c r="J354">
        <v>1543.32</v>
      </c>
      <c r="K354">
        <v>2408.9699999999998</v>
      </c>
      <c r="L354">
        <v>865.65</v>
      </c>
      <c r="M354" t="s">
        <v>28</v>
      </c>
    </row>
    <row r="355" spans="1:13" x14ac:dyDescent="0.3">
      <c r="A355" t="s">
        <v>485</v>
      </c>
      <c r="B355" s="1">
        <v>45758</v>
      </c>
      <c r="C355" t="s">
        <v>117</v>
      </c>
      <c r="D355" t="s">
        <v>58</v>
      </c>
      <c r="E355" t="s">
        <v>40</v>
      </c>
      <c r="F355" t="s">
        <v>22</v>
      </c>
      <c r="G355">
        <v>2</v>
      </c>
      <c r="H355">
        <v>4924.67</v>
      </c>
      <c r="I355">
        <v>0.15</v>
      </c>
      <c r="J355">
        <v>5778.62</v>
      </c>
      <c r="K355">
        <v>8371.94</v>
      </c>
      <c r="L355">
        <v>2593.3200000000002</v>
      </c>
      <c r="M355" t="s">
        <v>46</v>
      </c>
    </row>
    <row r="356" spans="1:13" x14ac:dyDescent="0.3">
      <c r="A356" t="s">
        <v>486</v>
      </c>
      <c r="B356" s="1">
        <v>46013</v>
      </c>
      <c r="C356" t="s">
        <v>470</v>
      </c>
      <c r="D356" t="s">
        <v>21</v>
      </c>
      <c r="E356" t="s">
        <v>16</v>
      </c>
      <c r="F356" t="s">
        <v>51</v>
      </c>
      <c r="G356">
        <v>4</v>
      </c>
      <c r="H356">
        <v>53310.66</v>
      </c>
      <c r="I356">
        <v>0</v>
      </c>
      <c r="J356">
        <v>133814.88</v>
      </c>
      <c r="K356">
        <v>213242.64</v>
      </c>
      <c r="L356">
        <v>79427.759999999995</v>
      </c>
      <c r="M356" t="s">
        <v>36</v>
      </c>
    </row>
    <row r="357" spans="1:13" x14ac:dyDescent="0.3">
      <c r="A357" t="s">
        <v>487</v>
      </c>
      <c r="B357" s="1">
        <v>45872</v>
      </c>
      <c r="C357" t="s">
        <v>77</v>
      </c>
      <c r="D357" t="s">
        <v>74</v>
      </c>
      <c r="E357" t="s">
        <v>35</v>
      </c>
      <c r="F357" t="s">
        <v>17</v>
      </c>
      <c r="G357">
        <v>3</v>
      </c>
      <c r="H357">
        <v>7128.05</v>
      </c>
      <c r="I357">
        <v>0</v>
      </c>
      <c r="J357">
        <v>11725.32</v>
      </c>
      <c r="K357">
        <v>21384.15</v>
      </c>
      <c r="L357">
        <v>9658.83</v>
      </c>
      <c r="M357" t="s">
        <v>46</v>
      </c>
    </row>
    <row r="358" spans="1:13" x14ac:dyDescent="0.3">
      <c r="A358" t="s">
        <v>488</v>
      </c>
      <c r="B358" s="1">
        <v>45924</v>
      </c>
      <c r="C358" t="s">
        <v>110</v>
      </c>
      <c r="D358" t="s">
        <v>31</v>
      </c>
      <c r="E358" t="s">
        <v>26</v>
      </c>
      <c r="F358" t="s">
        <v>51</v>
      </c>
      <c r="G358">
        <v>1</v>
      </c>
      <c r="H358">
        <v>971.51</v>
      </c>
      <c r="I358">
        <v>0</v>
      </c>
      <c r="J358">
        <v>702.29</v>
      </c>
      <c r="K358">
        <v>971.51</v>
      </c>
      <c r="L358">
        <v>269.22000000000003</v>
      </c>
      <c r="M358" t="s">
        <v>18</v>
      </c>
    </row>
    <row r="359" spans="1:13" x14ac:dyDescent="0.3">
      <c r="A359" t="s">
        <v>489</v>
      </c>
      <c r="B359" s="1">
        <v>45859</v>
      </c>
      <c r="C359" t="s">
        <v>104</v>
      </c>
      <c r="D359" t="s">
        <v>15</v>
      </c>
      <c r="E359" t="s">
        <v>16</v>
      </c>
      <c r="F359" t="s">
        <v>17</v>
      </c>
      <c r="G359">
        <v>5</v>
      </c>
      <c r="H359">
        <v>22603.75</v>
      </c>
      <c r="I359">
        <v>0</v>
      </c>
      <c r="J359">
        <v>74399.25</v>
      </c>
      <c r="K359">
        <v>113018.75</v>
      </c>
      <c r="L359">
        <v>38619.5</v>
      </c>
      <c r="M359" t="s">
        <v>18</v>
      </c>
    </row>
    <row r="360" spans="1:13" x14ac:dyDescent="0.3">
      <c r="A360" t="s">
        <v>490</v>
      </c>
      <c r="B360" s="1">
        <v>45859</v>
      </c>
      <c r="C360" t="s">
        <v>24</v>
      </c>
      <c r="D360" t="s">
        <v>45</v>
      </c>
      <c r="E360" t="s">
        <v>16</v>
      </c>
      <c r="F360" t="s">
        <v>51</v>
      </c>
      <c r="G360">
        <v>2</v>
      </c>
      <c r="H360">
        <v>2407.5</v>
      </c>
      <c r="I360">
        <v>0.1</v>
      </c>
      <c r="J360">
        <v>3076.24</v>
      </c>
      <c r="K360">
        <v>4333.5</v>
      </c>
      <c r="L360">
        <v>1257.26</v>
      </c>
      <c r="M360" t="s">
        <v>28</v>
      </c>
    </row>
    <row r="361" spans="1:13" x14ac:dyDescent="0.3">
      <c r="A361" t="s">
        <v>491</v>
      </c>
      <c r="B361" s="1">
        <v>45957</v>
      </c>
      <c r="C361" t="s">
        <v>100</v>
      </c>
      <c r="D361" t="s">
        <v>54</v>
      </c>
      <c r="E361" t="s">
        <v>55</v>
      </c>
      <c r="F361" t="s">
        <v>22</v>
      </c>
      <c r="G361">
        <v>3</v>
      </c>
      <c r="H361">
        <v>1692.98</v>
      </c>
      <c r="I361">
        <v>0.05</v>
      </c>
      <c r="J361">
        <v>3070.83</v>
      </c>
      <c r="K361">
        <v>4824.99</v>
      </c>
      <c r="L361">
        <v>1754.16</v>
      </c>
      <c r="M361" t="s">
        <v>36</v>
      </c>
    </row>
    <row r="362" spans="1:13" x14ac:dyDescent="0.3">
      <c r="A362" t="s">
        <v>492</v>
      </c>
      <c r="B362" s="1">
        <v>45841</v>
      </c>
      <c r="C362" t="s">
        <v>70</v>
      </c>
      <c r="D362" t="s">
        <v>45</v>
      </c>
      <c r="E362" t="s">
        <v>16</v>
      </c>
      <c r="F362" t="s">
        <v>22</v>
      </c>
      <c r="G362">
        <v>4</v>
      </c>
      <c r="H362">
        <v>2310.37</v>
      </c>
      <c r="I362">
        <v>0.15</v>
      </c>
      <c r="J362">
        <v>6285.08</v>
      </c>
      <c r="K362">
        <v>7855.26</v>
      </c>
      <c r="L362">
        <v>1570.18</v>
      </c>
      <c r="M362" t="s">
        <v>18</v>
      </c>
    </row>
    <row r="363" spans="1:13" x14ac:dyDescent="0.3">
      <c r="A363" t="s">
        <v>493</v>
      </c>
      <c r="B363" s="1">
        <v>46009</v>
      </c>
      <c r="C363" t="s">
        <v>350</v>
      </c>
      <c r="D363" t="s">
        <v>31</v>
      </c>
      <c r="E363" t="s">
        <v>26</v>
      </c>
      <c r="F363" t="s">
        <v>17</v>
      </c>
      <c r="G363">
        <v>4</v>
      </c>
      <c r="H363">
        <v>826.28</v>
      </c>
      <c r="I363">
        <v>0.1</v>
      </c>
      <c r="J363">
        <v>2747.24</v>
      </c>
      <c r="K363">
        <v>2974.61</v>
      </c>
      <c r="L363">
        <v>227.37</v>
      </c>
      <c r="M363" t="s">
        <v>46</v>
      </c>
    </row>
    <row r="364" spans="1:13" x14ac:dyDescent="0.3">
      <c r="A364" t="s">
        <v>494</v>
      </c>
      <c r="B364" s="1">
        <v>45860</v>
      </c>
      <c r="C364" t="s">
        <v>495</v>
      </c>
      <c r="D364" t="s">
        <v>34</v>
      </c>
      <c r="E364" t="s">
        <v>35</v>
      </c>
      <c r="F364" t="s">
        <v>17</v>
      </c>
      <c r="G364">
        <v>2</v>
      </c>
      <c r="H364">
        <v>9296.2800000000007</v>
      </c>
      <c r="I364">
        <v>0</v>
      </c>
      <c r="J364">
        <v>12372.42</v>
      </c>
      <c r="K364">
        <v>18592.560000000001</v>
      </c>
      <c r="L364">
        <v>6220.14</v>
      </c>
      <c r="M364" t="s">
        <v>28</v>
      </c>
    </row>
    <row r="365" spans="1:13" x14ac:dyDescent="0.3">
      <c r="A365" t="s">
        <v>496</v>
      </c>
      <c r="B365" s="1">
        <v>45942</v>
      </c>
      <c r="C365" t="s">
        <v>139</v>
      </c>
      <c r="D365" t="s">
        <v>31</v>
      </c>
      <c r="E365" t="s">
        <v>26</v>
      </c>
      <c r="F365" t="s">
        <v>22</v>
      </c>
      <c r="G365">
        <v>2</v>
      </c>
      <c r="H365">
        <v>963.83</v>
      </c>
      <c r="I365">
        <v>0</v>
      </c>
      <c r="J365">
        <v>1418.44</v>
      </c>
      <c r="K365">
        <v>1927.66</v>
      </c>
      <c r="L365">
        <v>509.22</v>
      </c>
      <c r="M365" t="s">
        <v>36</v>
      </c>
    </row>
    <row r="366" spans="1:13" x14ac:dyDescent="0.3">
      <c r="A366" t="s">
        <v>497</v>
      </c>
      <c r="B366" s="1">
        <v>45771</v>
      </c>
      <c r="C366" t="s">
        <v>279</v>
      </c>
      <c r="D366" t="s">
        <v>54</v>
      </c>
      <c r="E366" t="s">
        <v>55</v>
      </c>
      <c r="F366" t="s">
        <v>22</v>
      </c>
      <c r="G366">
        <v>1</v>
      </c>
      <c r="H366">
        <v>1642.2</v>
      </c>
      <c r="I366">
        <v>0.05</v>
      </c>
      <c r="J366">
        <v>1044.6500000000001</v>
      </c>
      <c r="K366">
        <v>1560.09</v>
      </c>
      <c r="L366">
        <v>515.44000000000005</v>
      </c>
      <c r="M366" t="s">
        <v>18</v>
      </c>
    </row>
    <row r="367" spans="1:13" x14ac:dyDescent="0.3">
      <c r="A367" t="s">
        <v>498</v>
      </c>
      <c r="B367" s="1">
        <v>45696</v>
      </c>
      <c r="C367" t="s">
        <v>145</v>
      </c>
      <c r="D367" t="s">
        <v>34</v>
      </c>
      <c r="E367" t="s">
        <v>35</v>
      </c>
      <c r="F367" t="s">
        <v>17</v>
      </c>
      <c r="G367">
        <v>1</v>
      </c>
      <c r="H367">
        <v>9209.6299999999992</v>
      </c>
      <c r="I367">
        <v>0.2</v>
      </c>
      <c r="J367">
        <v>5920.5</v>
      </c>
      <c r="K367">
        <v>7367.7</v>
      </c>
      <c r="L367">
        <v>1447.2</v>
      </c>
      <c r="M367" t="s">
        <v>46</v>
      </c>
    </row>
    <row r="368" spans="1:13" x14ac:dyDescent="0.3">
      <c r="A368" t="s">
        <v>499</v>
      </c>
      <c r="B368" s="1">
        <v>45827</v>
      </c>
      <c r="C368" t="s">
        <v>33</v>
      </c>
      <c r="D368" t="s">
        <v>54</v>
      </c>
      <c r="E368" t="s">
        <v>55</v>
      </c>
      <c r="F368" t="s">
        <v>17</v>
      </c>
      <c r="G368">
        <v>2</v>
      </c>
      <c r="H368">
        <v>1918.57</v>
      </c>
      <c r="I368">
        <v>0</v>
      </c>
      <c r="J368">
        <v>2794.58</v>
      </c>
      <c r="K368">
        <v>3837.14</v>
      </c>
      <c r="L368">
        <v>1042.56</v>
      </c>
      <c r="M368" t="s">
        <v>18</v>
      </c>
    </row>
    <row r="369" spans="1:13" x14ac:dyDescent="0.3">
      <c r="A369" t="s">
        <v>500</v>
      </c>
      <c r="B369" s="1">
        <v>45912</v>
      </c>
      <c r="C369" t="s">
        <v>115</v>
      </c>
      <c r="D369" t="s">
        <v>21</v>
      </c>
      <c r="E369" t="s">
        <v>16</v>
      </c>
      <c r="F369" t="s">
        <v>27</v>
      </c>
      <c r="G369">
        <v>2</v>
      </c>
      <c r="H369">
        <v>57468.74</v>
      </c>
      <c r="I369">
        <v>0.2</v>
      </c>
      <c r="J369">
        <v>72411.8</v>
      </c>
      <c r="K369">
        <v>91949.98</v>
      </c>
      <c r="L369">
        <v>19538.18</v>
      </c>
      <c r="M369" t="s">
        <v>18</v>
      </c>
    </row>
    <row r="370" spans="1:13" x14ac:dyDescent="0.3">
      <c r="A370" t="s">
        <v>501</v>
      </c>
      <c r="B370" s="1">
        <v>45886</v>
      </c>
      <c r="C370" t="s">
        <v>368</v>
      </c>
      <c r="D370" t="s">
        <v>45</v>
      </c>
      <c r="E370" t="s">
        <v>16</v>
      </c>
      <c r="F370" t="s">
        <v>17</v>
      </c>
      <c r="G370">
        <v>3</v>
      </c>
      <c r="H370">
        <v>2387.4899999999998</v>
      </c>
      <c r="I370">
        <v>0.05</v>
      </c>
      <c r="J370">
        <v>5828.07</v>
      </c>
      <c r="K370">
        <v>6804.35</v>
      </c>
      <c r="L370">
        <v>976.28</v>
      </c>
      <c r="M370" t="s">
        <v>46</v>
      </c>
    </row>
    <row r="371" spans="1:13" x14ac:dyDescent="0.3">
      <c r="A371" t="s">
        <v>502</v>
      </c>
      <c r="B371" s="1">
        <v>45702</v>
      </c>
      <c r="C371" t="s">
        <v>42</v>
      </c>
      <c r="D371" t="s">
        <v>31</v>
      </c>
      <c r="E371" t="s">
        <v>26</v>
      </c>
      <c r="F371" t="s">
        <v>27</v>
      </c>
      <c r="G371">
        <v>4</v>
      </c>
      <c r="H371">
        <v>896.23</v>
      </c>
      <c r="I371">
        <v>0.15</v>
      </c>
      <c r="J371">
        <v>2774.52</v>
      </c>
      <c r="K371">
        <v>3047.18</v>
      </c>
      <c r="L371">
        <v>272.66000000000003</v>
      </c>
      <c r="M371" t="s">
        <v>46</v>
      </c>
    </row>
    <row r="372" spans="1:13" x14ac:dyDescent="0.3">
      <c r="A372" t="s">
        <v>503</v>
      </c>
      <c r="B372" s="1">
        <v>45936</v>
      </c>
      <c r="C372" t="s">
        <v>145</v>
      </c>
      <c r="D372" t="s">
        <v>74</v>
      </c>
      <c r="E372" t="s">
        <v>35</v>
      </c>
      <c r="F372" t="s">
        <v>27</v>
      </c>
      <c r="G372">
        <v>2</v>
      </c>
      <c r="H372">
        <v>7142.31</v>
      </c>
      <c r="I372">
        <v>0.2</v>
      </c>
      <c r="J372">
        <v>7959.74</v>
      </c>
      <c r="K372">
        <v>11427.7</v>
      </c>
      <c r="L372">
        <v>3467.96</v>
      </c>
      <c r="M372" t="s">
        <v>28</v>
      </c>
    </row>
    <row r="373" spans="1:13" x14ac:dyDescent="0.3">
      <c r="A373" t="s">
        <v>504</v>
      </c>
      <c r="B373" s="1">
        <v>45822</v>
      </c>
      <c r="C373" t="s">
        <v>60</v>
      </c>
      <c r="D373" t="s">
        <v>54</v>
      </c>
      <c r="E373" t="s">
        <v>55</v>
      </c>
      <c r="F373" t="s">
        <v>51</v>
      </c>
      <c r="G373">
        <v>5</v>
      </c>
      <c r="H373">
        <v>1823.63</v>
      </c>
      <c r="I373">
        <v>0.15</v>
      </c>
      <c r="J373">
        <v>5724.1</v>
      </c>
      <c r="K373">
        <v>7750.43</v>
      </c>
      <c r="L373">
        <v>2026.33</v>
      </c>
      <c r="M373" t="s">
        <v>46</v>
      </c>
    </row>
    <row r="374" spans="1:13" x14ac:dyDescent="0.3">
      <c r="A374" t="s">
        <v>505</v>
      </c>
      <c r="B374" s="1">
        <v>45801</v>
      </c>
      <c r="C374" t="s">
        <v>86</v>
      </c>
      <c r="D374" t="s">
        <v>21</v>
      </c>
      <c r="E374" t="s">
        <v>16</v>
      </c>
      <c r="F374" t="s">
        <v>27</v>
      </c>
      <c r="G374">
        <v>3</v>
      </c>
      <c r="H374">
        <v>59353.41</v>
      </c>
      <c r="I374">
        <v>0.2</v>
      </c>
      <c r="J374">
        <v>99784.59</v>
      </c>
      <c r="K374">
        <v>142448.18</v>
      </c>
      <c r="L374">
        <v>42663.59</v>
      </c>
      <c r="M374" t="s">
        <v>28</v>
      </c>
    </row>
    <row r="375" spans="1:13" x14ac:dyDescent="0.3">
      <c r="A375" t="s">
        <v>506</v>
      </c>
      <c r="B375" s="1">
        <v>45794</v>
      </c>
      <c r="C375" t="s">
        <v>53</v>
      </c>
      <c r="D375" t="s">
        <v>58</v>
      </c>
      <c r="E375" t="s">
        <v>40</v>
      </c>
      <c r="F375" t="s">
        <v>17</v>
      </c>
      <c r="G375">
        <v>2</v>
      </c>
      <c r="H375">
        <v>4641.18</v>
      </c>
      <c r="I375">
        <v>0.05</v>
      </c>
      <c r="J375">
        <v>5175.3</v>
      </c>
      <c r="K375">
        <v>8818.24</v>
      </c>
      <c r="L375">
        <v>3642.94</v>
      </c>
      <c r="M375" t="s">
        <v>46</v>
      </c>
    </row>
    <row r="376" spans="1:13" x14ac:dyDescent="0.3">
      <c r="A376" t="s">
        <v>507</v>
      </c>
      <c r="B376" s="1">
        <v>45746</v>
      </c>
      <c r="C376" t="s">
        <v>300</v>
      </c>
      <c r="D376" t="s">
        <v>58</v>
      </c>
      <c r="E376" t="s">
        <v>40</v>
      </c>
      <c r="F376" t="s">
        <v>22</v>
      </c>
      <c r="G376">
        <v>4</v>
      </c>
      <c r="H376">
        <v>4942.3900000000003</v>
      </c>
      <c r="I376">
        <v>0.1</v>
      </c>
      <c r="J376">
        <v>14108.44</v>
      </c>
      <c r="K376">
        <v>17792.599999999999</v>
      </c>
      <c r="L376">
        <v>3684.16</v>
      </c>
      <c r="M376" t="s">
        <v>28</v>
      </c>
    </row>
    <row r="377" spans="1:13" x14ac:dyDescent="0.3">
      <c r="A377" t="s">
        <v>508</v>
      </c>
      <c r="B377" s="1">
        <v>45948</v>
      </c>
      <c r="C377" t="s">
        <v>92</v>
      </c>
      <c r="D377" t="s">
        <v>34</v>
      </c>
      <c r="E377" t="s">
        <v>35</v>
      </c>
      <c r="F377" t="s">
        <v>22</v>
      </c>
      <c r="G377">
        <v>5</v>
      </c>
      <c r="H377">
        <v>8247.86</v>
      </c>
      <c r="I377">
        <v>0</v>
      </c>
      <c r="J377">
        <v>30849.200000000001</v>
      </c>
      <c r="K377">
        <v>41239.300000000003</v>
      </c>
      <c r="L377">
        <v>10390.1</v>
      </c>
      <c r="M377" t="s">
        <v>46</v>
      </c>
    </row>
    <row r="378" spans="1:13" x14ac:dyDescent="0.3">
      <c r="A378" t="s">
        <v>509</v>
      </c>
      <c r="B378" s="1">
        <v>45686</v>
      </c>
      <c r="C378" t="s">
        <v>182</v>
      </c>
      <c r="D378" t="s">
        <v>54</v>
      </c>
      <c r="E378" t="s">
        <v>55</v>
      </c>
      <c r="F378" t="s">
        <v>22</v>
      </c>
      <c r="G378">
        <v>5</v>
      </c>
      <c r="H378">
        <v>1633.67</v>
      </c>
      <c r="I378">
        <v>0.1</v>
      </c>
      <c r="J378">
        <v>5345</v>
      </c>
      <c r="K378">
        <v>7351.52</v>
      </c>
      <c r="L378">
        <v>2006.52</v>
      </c>
      <c r="M378" t="s">
        <v>36</v>
      </c>
    </row>
    <row r="379" spans="1:13" x14ac:dyDescent="0.3">
      <c r="A379" t="s">
        <v>510</v>
      </c>
      <c r="B379" s="1">
        <v>45724</v>
      </c>
      <c r="C379" t="s">
        <v>160</v>
      </c>
      <c r="D379" t="s">
        <v>39</v>
      </c>
      <c r="E379" t="s">
        <v>40</v>
      </c>
      <c r="F379" t="s">
        <v>22</v>
      </c>
      <c r="G379">
        <v>4</v>
      </c>
      <c r="H379">
        <v>3273.05</v>
      </c>
      <c r="I379">
        <v>0</v>
      </c>
      <c r="J379">
        <v>8101.56</v>
      </c>
      <c r="K379">
        <v>13092.2</v>
      </c>
      <c r="L379">
        <v>4990.6400000000003</v>
      </c>
      <c r="M379" t="s">
        <v>28</v>
      </c>
    </row>
    <row r="380" spans="1:13" x14ac:dyDescent="0.3">
      <c r="A380" t="s">
        <v>511</v>
      </c>
      <c r="B380" s="1">
        <v>45714</v>
      </c>
      <c r="C380" t="s">
        <v>222</v>
      </c>
      <c r="D380" t="s">
        <v>21</v>
      </c>
      <c r="E380" t="s">
        <v>16</v>
      </c>
      <c r="F380" t="s">
        <v>51</v>
      </c>
      <c r="G380">
        <v>1</v>
      </c>
      <c r="H380">
        <v>59589.47</v>
      </c>
      <c r="I380">
        <v>0.05</v>
      </c>
      <c r="J380">
        <v>38315.879999999997</v>
      </c>
      <c r="K380">
        <v>56610</v>
      </c>
      <c r="L380">
        <v>18294.12</v>
      </c>
      <c r="M380" t="s">
        <v>36</v>
      </c>
    </row>
    <row r="381" spans="1:13" x14ac:dyDescent="0.3">
      <c r="A381" t="s">
        <v>512</v>
      </c>
      <c r="B381" s="1">
        <v>45727</v>
      </c>
      <c r="C381" t="s">
        <v>193</v>
      </c>
      <c r="D381" t="s">
        <v>34</v>
      </c>
      <c r="E381" t="s">
        <v>35</v>
      </c>
      <c r="F381" t="s">
        <v>27</v>
      </c>
      <c r="G381">
        <v>4</v>
      </c>
      <c r="H381">
        <v>8163</v>
      </c>
      <c r="I381">
        <v>0.2</v>
      </c>
      <c r="J381">
        <v>19558.759999999998</v>
      </c>
      <c r="K381">
        <v>26121.599999999999</v>
      </c>
      <c r="L381">
        <v>6562.84</v>
      </c>
      <c r="M381" t="s">
        <v>18</v>
      </c>
    </row>
    <row r="382" spans="1:13" x14ac:dyDescent="0.3">
      <c r="A382" t="s">
        <v>513</v>
      </c>
      <c r="B382" s="1">
        <v>45840</v>
      </c>
      <c r="C382" t="s">
        <v>73</v>
      </c>
      <c r="D382" t="s">
        <v>34</v>
      </c>
      <c r="E382" t="s">
        <v>35</v>
      </c>
      <c r="F382" t="s">
        <v>22</v>
      </c>
      <c r="G382">
        <v>2</v>
      </c>
      <c r="H382">
        <v>9229.0400000000009</v>
      </c>
      <c r="I382">
        <v>0.2</v>
      </c>
      <c r="J382">
        <v>12297.64</v>
      </c>
      <c r="K382">
        <v>14766.46</v>
      </c>
      <c r="L382">
        <v>2468.8200000000002</v>
      </c>
      <c r="M382" t="s">
        <v>18</v>
      </c>
    </row>
    <row r="383" spans="1:13" x14ac:dyDescent="0.3">
      <c r="A383" t="s">
        <v>514</v>
      </c>
      <c r="B383" s="1">
        <v>46017</v>
      </c>
      <c r="C383" t="s">
        <v>217</v>
      </c>
      <c r="D383" t="s">
        <v>31</v>
      </c>
      <c r="E383" t="s">
        <v>26</v>
      </c>
      <c r="F383" t="s">
        <v>27</v>
      </c>
      <c r="G383">
        <v>3</v>
      </c>
      <c r="H383">
        <v>810.32</v>
      </c>
      <c r="I383">
        <v>0.05</v>
      </c>
      <c r="J383">
        <v>1604.94</v>
      </c>
      <c r="K383">
        <v>2309.41</v>
      </c>
      <c r="L383">
        <v>704.47</v>
      </c>
      <c r="M383" t="s">
        <v>36</v>
      </c>
    </row>
    <row r="384" spans="1:13" x14ac:dyDescent="0.3">
      <c r="A384" t="s">
        <v>515</v>
      </c>
      <c r="B384" s="1">
        <v>45771</v>
      </c>
      <c r="C384" t="s">
        <v>321</v>
      </c>
      <c r="D384" t="s">
        <v>45</v>
      </c>
      <c r="E384" t="s">
        <v>16</v>
      </c>
      <c r="F384" t="s">
        <v>17</v>
      </c>
      <c r="G384">
        <v>5</v>
      </c>
      <c r="H384">
        <v>2733.77</v>
      </c>
      <c r="I384">
        <v>0.1</v>
      </c>
      <c r="J384">
        <v>9753.25</v>
      </c>
      <c r="K384">
        <v>12301.97</v>
      </c>
      <c r="L384">
        <v>2548.7199999999998</v>
      </c>
      <c r="M384" t="s">
        <v>18</v>
      </c>
    </row>
    <row r="385" spans="1:13" x14ac:dyDescent="0.3">
      <c r="A385" t="s">
        <v>516</v>
      </c>
      <c r="B385" s="1">
        <v>45743</v>
      </c>
      <c r="C385" t="s">
        <v>321</v>
      </c>
      <c r="D385" t="s">
        <v>45</v>
      </c>
      <c r="E385" t="s">
        <v>16</v>
      </c>
      <c r="F385" t="s">
        <v>17</v>
      </c>
      <c r="G385">
        <v>3</v>
      </c>
      <c r="H385">
        <v>2741.19</v>
      </c>
      <c r="I385">
        <v>0</v>
      </c>
      <c r="J385">
        <v>4571.25</v>
      </c>
      <c r="K385">
        <v>8223.57</v>
      </c>
      <c r="L385">
        <v>3652.32</v>
      </c>
      <c r="M385" t="s">
        <v>28</v>
      </c>
    </row>
    <row r="386" spans="1:13" x14ac:dyDescent="0.3">
      <c r="A386" t="s">
        <v>517</v>
      </c>
      <c r="B386" s="1">
        <v>45837</v>
      </c>
      <c r="C386" t="s">
        <v>215</v>
      </c>
      <c r="D386" t="s">
        <v>54</v>
      </c>
      <c r="E386" t="s">
        <v>55</v>
      </c>
      <c r="F386" t="s">
        <v>17</v>
      </c>
      <c r="G386">
        <v>1</v>
      </c>
      <c r="H386">
        <v>1869.54</v>
      </c>
      <c r="I386">
        <v>0.1</v>
      </c>
      <c r="J386">
        <v>1084.3599999999999</v>
      </c>
      <c r="K386">
        <v>1682.59</v>
      </c>
      <c r="L386">
        <v>598.23</v>
      </c>
      <c r="M386" t="s">
        <v>36</v>
      </c>
    </row>
    <row r="387" spans="1:13" x14ac:dyDescent="0.3">
      <c r="A387" t="s">
        <v>518</v>
      </c>
      <c r="B387" s="1">
        <v>45869</v>
      </c>
      <c r="C387" t="s">
        <v>57</v>
      </c>
      <c r="D387" t="s">
        <v>21</v>
      </c>
      <c r="E387" t="s">
        <v>16</v>
      </c>
      <c r="F387" t="s">
        <v>27</v>
      </c>
      <c r="G387">
        <v>4</v>
      </c>
      <c r="H387">
        <v>60160.12</v>
      </c>
      <c r="I387">
        <v>0.15</v>
      </c>
      <c r="J387">
        <v>161292.16</v>
      </c>
      <c r="K387">
        <v>204544.41</v>
      </c>
      <c r="L387">
        <v>43252.25</v>
      </c>
      <c r="M387" t="s">
        <v>28</v>
      </c>
    </row>
    <row r="388" spans="1:13" x14ac:dyDescent="0.3">
      <c r="A388" t="s">
        <v>519</v>
      </c>
      <c r="B388" s="1">
        <v>45953</v>
      </c>
      <c r="C388" t="s">
        <v>520</v>
      </c>
      <c r="D388" t="s">
        <v>39</v>
      </c>
      <c r="E388" t="s">
        <v>40</v>
      </c>
      <c r="F388" t="s">
        <v>22</v>
      </c>
      <c r="G388">
        <v>4</v>
      </c>
      <c r="H388">
        <v>3384.79</v>
      </c>
      <c r="I388">
        <v>0</v>
      </c>
      <c r="J388">
        <v>9692.2000000000007</v>
      </c>
      <c r="K388">
        <v>13539.16</v>
      </c>
      <c r="L388">
        <v>3846.96</v>
      </c>
      <c r="M388" t="s">
        <v>46</v>
      </c>
    </row>
    <row r="389" spans="1:13" x14ac:dyDescent="0.3">
      <c r="A389" t="s">
        <v>521</v>
      </c>
      <c r="B389" s="1">
        <v>45711</v>
      </c>
      <c r="C389" t="s">
        <v>104</v>
      </c>
      <c r="D389" t="s">
        <v>54</v>
      </c>
      <c r="E389" t="s">
        <v>55</v>
      </c>
      <c r="F389" t="s">
        <v>51</v>
      </c>
      <c r="G389">
        <v>1</v>
      </c>
      <c r="H389">
        <v>1734.74</v>
      </c>
      <c r="I389">
        <v>0</v>
      </c>
      <c r="J389">
        <v>1122.71</v>
      </c>
      <c r="K389">
        <v>1734.74</v>
      </c>
      <c r="L389">
        <v>612.03</v>
      </c>
      <c r="M389" t="s">
        <v>46</v>
      </c>
    </row>
    <row r="390" spans="1:13" x14ac:dyDescent="0.3">
      <c r="A390" t="s">
        <v>522</v>
      </c>
      <c r="B390" s="1">
        <v>45705</v>
      </c>
      <c r="C390" t="s">
        <v>160</v>
      </c>
      <c r="D390" t="s">
        <v>74</v>
      </c>
      <c r="E390" t="s">
        <v>35</v>
      </c>
      <c r="F390" t="s">
        <v>27</v>
      </c>
      <c r="G390">
        <v>2</v>
      </c>
      <c r="H390">
        <v>7017.56</v>
      </c>
      <c r="I390">
        <v>0</v>
      </c>
      <c r="J390">
        <v>8927.9</v>
      </c>
      <c r="K390">
        <v>14035.12</v>
      </c>
      <c r="L390">
        <v>5107.22</v>
      </c>
      <c r="M390" t="s">
        <v>36</v>
      </c>
    </row>
    <row r="391" spans="1:13" x14ac:dyDescent="0.3">
      <c r="A391" t="s">
        <v>523</v>
      </c>
      <c r="B391" s="1">
        <v>45709</v>
      </c>
      <c r="C391" t="s">
        <v>121</v>
      </c>
      <c r="D391" t="s">
        <v>74</v>
      </c>
      <c r="E391" t="s">
        <v>35</v>
      </c>
      <c r="F391" t="s">
        <v>22</v>
      </c>
      <c r="G391">
        <v>2</v>
      </c>
      <c r="H391">
        <v>6054.23</v>
      </c>
      <c r="I391">
        <v>0.2</v>
      </c>
      <c r="J391">
        <v>10041.700000000001</v>
      </c>
      <c r="K391">
        <v>9686.77</v>
      </c>
      <c r="L391">
        <v>-354.93</v>
      </c>
      <c r="M391" t="s">
        <v>46</v>
      </c>
    </row>
    <row r="392" spans="1:13" x14ac:dyDescent="0.3">
      <c r="A392" t="s">
        <v>524</v>
      </c>
      <c r="B392" s="1">
        <v>45779</v>
      </c>
      <c r="C392" t="s">
        <v>84</v>
      </c>
      <c r="D392" t="s">
        <v>74</v>
      </c>
      <c r="E392" t="s">
        <v>35</v>
      </c>
      <c r="F392" t="s">
        <v>17</v>
      </c>
      <c r="G392">
        <v>5</v>
      </c>
      <c r="H392">
        <v>6215.98</v>
      </c>
      <c r="I392">
        <v>0.2</v>
      </c>
      <c r="J392">
        <v>20030.3</v>
      </c>
      <c r="K392">
        <v>24863.919999999998</v>
      </c>
      <c r="L392">
        <v>4833.62</v>
      </c>
      <c r="M392" t="s">
        <v>18</v>
      </c>
    </row>
    <row r="393" spans="1:13" x14ac:dyDescent="0.3">
      <c r="A393" t="s">
        <v>525</v>
      </c>
      <c r="B393" s="1">
        <v>45876</v>
      </c>
      <c r="C393" t="s">
        <v>129</v>
      </c>
      <c r="D393" t="s">
        <v>58</v>
      </c>
      <c r="E393" t="s">
        <v>40</v>
      </c>
      <c r="F393" t="s">
        <v>51</v>
      </c>
      <c r="G393">
        <v>5</v>
      </c>
      <c r="H393">
        <v>4374.75</v>
      </c>
      <c r="I393">
        <v>0.15</v>
      </c>
      <c r="J393">
        <v>13238.95</v>
      </c>
      <c r="K393">
        <v>18592.689999999999</v>
      </c>
      <c r="L393">
        <v>5353.74</v>
      </c>
      <c r="M393" t="s">
        <v>18</v>
      </c>
    </row>
    <row r="394" spans="1:13" x14ac:dyDescent="0.3">
      <c r="A394" t="s">
        <v>526</v>
      </c>
      <c r="B394" s="1">
        <v>45699</v>
      </c>
      <c r="C394" t="s">
        <v>291</v>
      </c>
      <c r="D394" t="s">
        <v>25</v>
      </c>
      <c r="E394" t="s">
        <v>26</v>
      </c>
      <c r="F394" t="s">
        <v>17</v>
      </c>
      <c r="G394">
        <v>1</v>
      </c>
      <c r="H394">
        <v>1849.75</v>
      </c>
      <c r="I394">
        <v>0</v>
      </c>
      <c r="J394">
        <v>1083.1300000000001</v>
      </c>
      <c r="K394">
        <v>1849.75</v>
      </c>
      <c r="L394">
        <v>766.62</v>
      </c>
      <c r="M394" t="s">
        <v>28</v>
      </c>
    </row>
    <row r="395" spans="1:13" x14ac:dyDescent="0.3">
      <c r="A395" t="s">
        <v>527</v>
      </c>
      <c r="B395" s="1">
        <v>45986</v>
      </c>
      <c r="C395" t="s">
        <v>66</v>
      </c>
      <c r="D395" t="s">
        <v>74</v>
      </c>
      <c r="E395" t="s">
        <v>35</v>
      </c>
      <c r="F395" t="s">
        <v>27</v>
      </c>
      <c r="G395">
        <v>4</v>
      </c>
      <c r="H395">
        <v>6194.51</v>
      </c>
      <c r="I395">
        <v>0.15</v>
      </c>
      <c r="J395">
        <v>20116.72</v>
      </c>
      <c r="K395">
        <v>21061.33</v>
      </c>
      <c r="L395">
        <v>944.61</v>
      </c>
      <c r="M395" t="s">
        <v>46</v>
      </c>
    </row>
    <row r="396" spans="1:13" x14ac:dyDescent="0.3">
      <c r="A396" t="s">
        <v>528</v>
      </c>
      <c r="B396" s="1">
        <v>45883</v>
      </c>
      <c r="C396" t="s">
        <v>135</v>
      </c>
      <c r="D396" t="s">
        <v>34</v>
      </c>
      <c r="E396" t="s">
        <v>35</v>
      </c>
      <c r="F396" t="s">
        <v>51</v>
      </c>
      <c r="G396">
        <v>4</v>
      </c>
      <c r="H396">
        <v>7725.85</v>
      </c>
      <c r="I396">
        <v>0.1</v>
      </c>
      <c r="J396">
        <v>20285.96</v>
      </c>
      <c r="K396">
        <v>27813.06</v>
      </c>
      <c r="L396">
        <v>7527.1</v>
      </c>
      <c r="M396" t="s">
        <v>46</v>
      </c>
    </row>
    <row r="397" spans="1:13" x14ac:dyDescent="0.3">
      <c r="A397" t="s">
        <v>529</v>
      </c>
      <c r="B397" s="1">
        <v>45707</v>
      </c>
      <c r="C397" t="s">
        <v>142</v>
      </c>
      <c r="D397" t="s">
        <v>31</v>
      </c>
      <c r="E397" t="s">
        <v>26</v>
      </c>
      <c r="F397" t="s">
        <v>51</v>
      </c>
      <c r="G397">
        <v>5</v>
      </c>
      <c r="H397">
        <v>935.36</v>
      </c>
      <c r="I397">
        <v>0</v>
      </c>
      <c r="J397">
        <v>2645</v>
      </c>
      <c r="K397">
        <v>4676.8</v>
      </c>
      <c r="L397">
        <v>2031.8</v>
      </c>
      <c r="M397" t="s">
        <v>18</v>
      </c>
    </row>
    <row r="398" spans="1:13" x14ac:dyDescent="0.3">
      <c r="A398" t="s">
        <v>530</v>
      </c>
      <c r="B398" s="1">
        <v>45925</v>
      </c>
      <c r="C398" t="s">
        <v>245</v>
      </c>
      <c r="D398" t="s">
        <v>58</v>
      </c>
      <c r="E398" t="s">
        <v>40</v>
      </c>
      <c r="F398" t="s">
        <v>27</v>
      </c>
      <c r="G398">
        <v>2</v>
      </c>
      <c r="H398">
        <v>4398.3999999999996</v>
      </c>
      <c r="I398">
        <v>0.2</v>
      </c>
      <c r="J398">
        <v>5087.22</v>
      </c>
      <c r="K398">
        <v>7037.44</v>
      </c>
      <c r="L398">
        <v>1950.22</v>
      </c>
      <c r="M398" t="s">
        <v>46</v>
      </c>
    </row>
    <row r="399" spans="1:13" x14ac:dyDescent="0.3">
      <c r="A399" t="s">
        <v>531</v>
      </c>
      <c r="B399" s="1">
        <v>45675</v>
      </c>
      <c r="C399" t="s">
        <v>64</v>
      </c>
      <c r="D399" t="s">
        <v>54</v>
      </c>
      <c r="E399" t="s">
        <v>55</v>
      </c>
      <c r="F399" t="s">
        <v>22</v>
      </c>
      <c r="G399">
        <v>3</v>
      </c>
      <c r="H399">
        <v>1927.42</v>
      </c>
      <c r="I399">
        <v>0</v>
      </c>
      <c r="J399">
        <v>3502.98</v>
      </c>
      <c r="K399">
        <v>5782.26</v>
      </c>
      <c r="L399">
        <v>2279.2800000000002</v>
      </c>
      <c r="M399" t="s">
        <v>36</v>
      </c>
    </row>
    <row r="400" spans="1:13" x14ac:dyDescent="0.3">
      <c r="A400" t="s">
        <v>532</v>
      </c>
      <c r="B400" s="1">
        <v>45722</v>
      </c>
      <c r="C400" t="s">
        <v>119</v>
      </c>
      <c r="D400" t="s">
        <v>54</v>
      </c>
      <c r="E400" t="s">
        <v>55</v>
      </c>
      <c r="F400" t="s">
        <v>27</v>
      </c>
      <c r="G400">
        <v>2</v>
      </c>
      <c r="H400">
        <v>1911.05</v>
      </c>
      <c r="I400">
        <v>0.05</v>
      </c>
      <c r="J400">
        <v>2854.94</v>
      </c>
      <c r="K400">
        <v>3630.99</v>
      </c>
      <c r="L400">
        <v>776.05</v>
      </c>
      <c r="M400" t="s">
        <v>36</v>
      </c>
    </row>
    <row r="401" spans="1:13" x14ac:dyDescent="0.3">
      <c r="A401" t="s">
        <v>533</v>
      </c>
      <c r="B401" s="1">
        <v>45692</v>
      </c>
      <c r="C401" t="s">
        <v>129</v>
      </c>
      <c r="D401" t="s">
        <v>74</v>
      </c>
      <c r="E401" t="s">
        <v>35</v>
      </c>
      <c r="F401" t="s">
        <v>27</v>
      </c>
      <c r="G401">
        <v>2</v>
      </c>
      <c r="H401">
        <v>6185.25</v>
      </c>
      <c r="I401">
        <v>0.05</v>
      </c>
      <c r="J401">
        <v>9860.86</v>
      </c>
      <c r="K401">
        <v>11751.97</v>
      </c>
      <c r="L401">
        <v>1891.11</v>
      </c>
      <c r="M401" t="s">
        <v>18</v>
      </c>
    </row>
    <row r="402" spans="1:13" x14ac:dyDescent="0.3">
      <c r="A402" t="s">
        <v>534</v>
      </c>
      <c r="B402" s="1">
        <v>45664</v>
      </c>
      <c r="C402" t="s">
        <v>24</v>
      </c>
      <c r="D402" t="s">
        <v>39</v>
      </c>
      <c r="E402" t="s">
        <v>40</v>
      </c>
      <c r="F402" t="s">
        <v>27</v>
      </c>
      <c r="G402">
        <v>3</v>
      </c>
      <c r="H402">
        <v>3466.98</v>
      </c>
      <c r="I402">
        <v>0.1</v>
      </c>
      <c r="J402">
        <v>6527.25</v>
      </c>
      <c r="K402">
        <v>9360.85</v>
      </c>
      <c r="L402">
        <v>2833.6</v>
      </c>
      <c r="M402" t="s">
        <v>36</v>
      </c>
    </row>
    <row r="403" spans="1:13" x14ac:dyDescent="0.3">
      <c r="A403" t="s">
        <v>535</v>
      </c>
      <c r="B403" s="1">
        <v>45709</v>
      </c>
      <c r="C403" t="s">
        <v>100</v>
      </c>
      <c r="D403" t="s">
        <v>74</v>
      </c>
      <c r="E403" t="s">
        <v>35</v>
      </c>
      <c r="F403" t="s">
        <v>17</v>
      </c>
      <c r="G403">
        <v>2</v>
      </c>
      <c r="H403">
        <v>6607.48</v>
      </c>
      <c r="I403">
        <v>0.05</v>
      </c>
      <c r="J403">
        <v>8991.44</v>
      </c>
      <c r="K403">
        <v>12554.21</v>
      </c>
      <c r="L403">
        <v>3562.77</v>
      </c>
      <c r="M403" t="s">
        <v>28</v>
      </c>
    </row>
    <row r="404" spans="1:13" x14ac:dyDescent="0.3">
      <c r="A404" t="s">
        <v>536</v>
      </c>
      <c r="B404" s="1">
        <v>45950</v>
      </c>
      <c r="C404" t="s">
        <v>177</v>
      </c>
      <c r="D404" t="s">
        <v>39</v>
      </c>
      <c r="E404" t="s">
        <v>40</v>
      </c>
      <c r="F404" t="s">
        <v>27</v>
      </c>
      <c r="G404">
        <v>3</v>
      </c>
      <c r="H404">
        <v>3299.06</v>
      </c>
      <c r="I404">
        <v>0.15</v>
      </c>
      <c r="J404">
        <v>5913.93</v>
      </c>
      <c r="K404">
        <v>8412.6</v>
      </c>
      <c r="L404">
        <v>2498.67</v>
      </c>
      <c r="M404" t="s">
        <v>36</v>
      </c>
    </row>
    <row r="405" spans="1:13" x14ac:dyDescent="0.3">
      <c r="A405" t="s">
        <v>537</v>
      </c>
      <c r="B405" s="1">
        <v>46013</v>
      </c>
      <c r="C405" t="s">
        <v>366</v>
      </c>
      <c r="D405" t="s">
        <v>45</v>
      </c>
      <c r="E405" t="s">
        <v>16</v>
      </c>
      <c r="F405" t="s">
        <v>17</v>
      </c>
      <c r="G405">
        <v>3</v>
      </c>
      <c r="H405">
        <v>2554.33</v>
      </c>
      <c r="I405">
        <v>0.15</v>
      </c>
      <c r="J405">
        <v>4394.7299999999996</v>
      </c>
      <c r="K405">
        <v>6513.54</v>
      </c>
      <c r="L405">
        <v>2118.81</v>
      </c>
      <c r="M405" t="s">
        <v>18</v>
      </c>
    </row>
    <row r="406" spans="1:13" x14ac:dyDescent="0.3">
      <c r="A406" t="s">
        <v>538</v>
      </c>
      <c r="B406" s="1">
        <v>45848</v>
      </c>
      <c r="C406" t="s">
        <v>145</v>
      </c>
      <c r="D406" t="s">
        <v>34</v>
      </c>
      <c r="E406" t="s">
        <v>35</v>
      </c>
      <c r="F406" t="s">
        <v>51</v>
      </c>
      <c r="G406">
        <v>2</v>
      </c>
      <c r="H406">
        <v>9215.42</v>
      </c>
      <c r="I406">
        <v>0</v>
      </c>
      <c r="J406">
        <v>12519.44</v>
      </c>
      <c r="K406">
        <v>18430.84</v>
      </c>
      <c r="L406">
        <v>5911.4</v>
      </c>
      <c r="M406" t="s">
        <v>28</v>
      </c>
    </row>
    <row r="407" spans="1:13" x14ac:dyDescent="0.3">
      <c r="A407" t="s">
        <v>539</v>
      </c>
      <c r="B407" s="1">
        <v>45774</v>
      </c>
      <c r="C407" t="s">
        <v>82</v>
      </c>
      <c r="D407" t="s">
        <v>31</v>
      </c>
      <c r="E407" t="s">
        <v>26</v>
      </c>
      <c r="F407" t="s">
        <v>51</v>
      </c>
      <c r="G407">
        <v>3</v>
      </c>
      <c r="H407">
        <v>933.27</v>
      </c>
      <c r="I407">
        <v>0.15</v>
      </c>
      <c r="J407">
        <v>2064.3000000000002</v>
      </c>
      <c r="K407">
        <v>2379.84</v>
      </c>
      <c r="L407">
        <v>315.54000000000002</v>
      </c>
      <c r="M407" t="s">
        <v>18</v>
      </c>
    </row>
    <row r="408" spans="1:13" x14ac:dyDescent="0.3">
      <c r="A408" t="s">
        <v>540</v>
      </c>
      <c r="B408" s="1">
        <v>45884</v>
      </c>
      <c r="C408" t="s">
        <v>50</v>
      </c>
      <c r="D408" t="s">
        <v>34</v>
      </c>
      <c r="E408" t="s">
        <v>35</v>
      </c>
      <c r="F408" t="s">
        <v>27</v>
      </c>
      <c r="G408">
        <v>3</v>
      </c>
      <c r="H408">
        <v>7801.79</v>
      </c>
      <c r="I408">
        <v>0.15</v>
      </c>
      <c r="J408">
        <v>17881.740000000002</v>
      </c>
      <c r="K408">
        <v>19894.560000000001</v>
      </c>
      <c r="L408">
        <v>2012.82</v>
      </c>
      <c r="M408" t="s">
        <v>18</v>
      </c>
    </row>
    <row r="409" spans="1:13" x14ac:dyDescent="0.3">
      <c r="A409" t="s">
        <v>541</v>
      </c>
      <c r="B409" s="1">
        <v>45817</v>
      </c>
      <c r="C409" t="s">
        <v>38</v>
      </c>
      <c r="D409" t="s">
        <v>39</v>
      </c>
      <c r="E409" t="s">
        <v>40</v>
      </c>
      <c r="F409" t="s">
        <v>27</v>
      </c>
      <c r="G409">
        <v>3</v>
      </c>
      <c r="H409">
        <v>2981.74</v>
      </c>
      <c r="I409">
        <v>0</v>
      </c>
      <c r="J409">
        <v>6516.66</v>
      </c>
      <c r="K409">
        <v>8945.2199999999993</v>
      </c>
      <c r="L409">
        <v>2428.56</v>
      </c>
      <c r="M409" t="s">
        <v>46</v>
      </c>
    </row>
    <row r="410" spans="1:13" x14ac:dyDescent="0.3">
      <c r="A410" t="s">
        <v>542</v>
      </c>
      <c r="B410" s="1">
        <v>45760</v>
      </c>
      <c r="C410" t="s">
        <v>86</v>
      </c>
      <c r="D410" t="s">
        <v>39</v>
      </c>
      <c r="E410" t="s">
        <v>40</v>
      </c>
      <c r="F410" t="s">
        <v>22</v>
      </c>
      <c r="G410">
        <v>5</v>
      </c>
      <c r="H410">
        <v>3440.12</v>
      </c>
      <c r="I410">
        <v>0</v>
      </c>
      <c r="J410">
        <v>9494.9500000000007</v>
      </c>
      <c r="K410">
        <v>17200.599999999999</v>
      </c>
      <c r="L410">
        <v>7705.65</v>
      </c>
      <c r="M410" t="s">
        <v>36</v>
      </c>
    </row>
    <row r="411" spans="1:13" x14ac:dyDescent="0.3">
      <c r="A411" t="s">
        <v>543</v>
      </c>
      <c r="B411" s="1">
        <v>45895</v>
      </c>
      <c r="C411" t="s">
        <v>64</v>
      </c>
      <c r="D411" t="s">
        <v>54</v>
      </c>
      <c r="E411" t="s">
        <v>55</v>
      </c>
      <c r="F411" t="s">
        <v>27</v>
      </c>
      <c r="G411">
        <v>1</v>
      </c>
      <c r="H411">
        <v>1718.63</v>
      </c>
      <c r="I411">
        <v>0.1</v>
      </c>
      <c r="J411">
        <v>1307.0899999999999</v>
      </c>
      <c r="K411">
        <v>1546.77</v>
      </c>
      <c r="L411">
        <v>239.68</v>
      </c>
      <c r="M411" t="s">
        <v>36</v>
      </c>
    </row>
    <row r="412" spans="1:13" x14ac:dyDescent="0.3">
      <c r="A412" t="s">
        <v>544</v>
      </c>
      <c r="B412" s="1">
        <v>45900</v>
      </c>
      <c r="C412" t="s">
        <v>184</v>
      </c>
      <c r="D412" t="s">
        <v>21</v>
      </c>
      <c r="E412" t="s">
        <v>16</v>
      </c>
      <c r="F412" t="s">
        <v>51</v>
      </c>
      <c r="G412">
        <v>2</v>
      </c>
      <c r="H412">
        <v>54407.14</v>
      </c>
      <c r="I412">
        <v>0.1</v>
      </c>
      <c r="J412">
        <v>73941.64</v>
      </c>
      <c r="K412">
        <v>97932.85</v>
      </c>
      <c r="L412">
        <v>23991.21</v>
      </c>
      <c r="M412" t="s">
        <v>28</v>
      </c>
    </row>
    <row r="413" spans="1:13" x14ac:dyDescent="0.3">
      <c r="A413" t="s">
        <v>545</v>
      </c>
      <c r="B413" s="1">
        <v>45741</v>
      </c>
      <c r="C413" t="s">
        <v>217</v>
      </c>
      <c r="D413" t="s">
        <v>45</v>
      </c>
      <c r="E413" t="s">
        <v>16</v>
      </c>
      <c r="F413" t="s">
        <v>22</v>
      </c>
      <c r="G413">
        <v>3</v>
      </c>
      <c r="H413">
        <v>2443.2800000000002</v>
      </c>
      <c r="I413">
        <v>0</v>
      </c>
      <c r="J413">
        <v>4659.51</v>
      </c>
      <c r="K413">
        <v>7329.84</v>
      </c>
      <c r="L413">
        <v>2670.33</v>
      </c>
      <c r="M413" t="s">
        <v>46</v>
      </c>
    </row>
    <row r="414" spans="1:13" x14ac:dyDescent="0.3">
      <c r="A414" t="s">
        <v>546</v>
      </c>
      <c r="B414" s="1">
        <v>46007</v>
      </c>
      <c r="C414" t="s">
        <v>470</v>
      </c>
      <c r="D414" t="s">
        <v>25</v>
      </c>
      <c r="E414" t="s">
        <v>26</v>
      </c>
      <c r="F414" t="s">
        <v>27</v>
      </c>
      <c r="G414">
        <v>2</v>
      </c>
      <c r="H414">
        <v>1804.78</v>
      </c>
      <c r="I414">
        <v>0.1</v>
      </c>
      <c r="J414">
        <v>2566.42</v>
      </c>
      <c r="K414">
        <v>3248.6</v>
      </c>
      <c r="L414">
        <v>682.18</v>
      </c>
      <c r="M414" t="s">
        <v>46</v>
      </c>
    </row>
    <row r="415" spans="1:13" x14ac:dyDescent="0.3">
      <c r="A415" t="s">
        <v>547</v>
      </c>
      <c r="B415" s="1">
        <v>45814</v>
      </c>
      <c r="C415" t="s">
        <v>548</v>
      </c>
      <c r="D415" t="s">
        <v>45</v>
      </c>
      <c r="E415" t="s">
        <v>16</v>
      </c>
      <c r="F415" t="s">
        <v>51</v>
      </c>
      <c r="G415">
        <v>5</v>
      </c>
      <c r="H415">
        <v>2554.17</v>
      </c>
      <c r="I415">
        <v>0</v>
      </c>
      <c r="J415">
        <v>7574.3</v>
      </c>
      <c r="K415">
        <v>12770.85</v>
      </c>
      <c r="L415">
        <v>5196.55</v>
      </c>
      <c r="M415" t="s">
        <v>18</v>
      </c>
    </row>
    <row r="416" spans="1:13" x14ac:dyDescent="0.3">
      <c r="A416" t="s">
        <v>549</v>
      </c>
      <c r="B416" s="1">
        <v>46004</v>
      </c>
      <c r="C416" t="s">
        <v>432</v>
      </c>
      <c r="D416" t="s">
        <v>74</v>
      </c>
      <c r="E416" t="s">
        <v>35</v>
      </c>
      <c r="F416" t="s">
        <v>27</v>
      </c>
      <c r="G416">
        <v>3</v>
      </c>
      <c r="H416">
        <v>6456.71</v>
      </c>
      <c r="I416">
        <v>0.15</v>
      </c>
      <c r="J416">
        <v>11953.5</v>
      </c>
      <c r="K416">
        <v>16464.61</v>
      </c>
      <c r="L416">
        <v>4511.1099999999997</v>
      </c>
      <c r="M416" t="s">
        <v>36</v>
      </c>
    </row>
    <row r="417" spans="1:13" x14ac:dyDescent="0.3">
      <c r="A417" t="s">
        <v>550</v>
      </c>
      <c r="B417" s="1">
        <v>45802</v>
      </c>
      <c r="C417" t="s">
        <v>350</v>
      </c>
      <c r="D417" t="s">
        <v>21</v>
      </c>
      <c r="E417" t="s">
        <v>16</v>
      </c>
      <c r="F417" t="s">
        <v>17</v>
      </c>
      <c r="G417">
        <v>5</v>
      </c>
      <c r="H417">
        <v>56031.5</v>
      </c>
      <c r="I417">
        <v>0.1</v>
      </c>
      <c r="J417">
        <v>189850.2</v>
      </c>
      <c r="K417">
        <v>252141.75</v>
      </c>
      <c r="L417">
        <v>62291.55</v>
      </c>
      <c r="M417" t="s">
        <v>18</v>
      </c>
    </row>
    <row r="418" spans="1:13" x14ac:dyDescent="0.3">
      <c r="A418" t="s">
        <v>551</v>
      </c>
      <c r="B418" s="1">
        <v>45791</v>
      </c>
      <c r="C418" t="s">
        <v>520</v>
      </c>
      <c r="D418" t="s">
        <v>15</v>
      </c>
      <c r="E418" t="s">
        <v>16</v>
      </c>
      <c r="F418" t="s">
        <v>51</v>
      </c>
      <c r="G418">
        <v>3</v>
      </c>
      <c r="H418">
        <v>23590.560000000001</v>
      </c>
      <c r="I418">
        <v>0.1</v>
      </c>
      <c r="J418">
        <v>46869.81</v>
      </c>
      <c r="K418">
        <v>63694.51</v>
      </c>
      <c r="L418">
        <v>16824.7</v>
      </c>
      <c r="M418" t="s">
        <v>46</v>
      </c>
    </row>
    <row r="419" spans="1:13" x14ac:dyDescent="0.3">
      <c r="A419" t="s">
        <v>552</v>
      </c>
      <c r="B419" s="1">
        <v>45965</v>
      </c>
      <c r="C419" t="s">
        <v>366</v>
      </c>
      <c r="D419" t="s">
        <v>45</v>
      </c>
      <c r="E419" t="s">
        <v>16</v>
      </c>
      <c r="F419" t="s">
        <v>51</v>
      </c>
      <c r="G419">
        <v>5</v>
      </c>
      <c r="H419">
        <v>2652.71</v>
      </c>
      <c r="I419">
        <v>0.05</v>
      </c>
      <c r="J419">
        <v>9686.5</v>
      </c>
      <c r="K419">
        <v>12600.37</v>
      </c>
      <c r="L419">
        <v>2913.87</v>
      </c>
      <c r="M419" t="s">
        <v>46</v>
      </c>
    </row>
    <row r="420" spans="1:13" x14ac:dyDescent="0.3">
      <c r="A420" t="s">
        <v>553</v>
      </c>
      <c r="B420" s="1">
        <v>45856</v>
      </c>
      <c r="C420" t="s">
        <v>385</v>
      </c>
      <c r="D420" t="s">
        <v>21</v>
      </c>
      <c r="E420" t="s">
        <v>16</v>
      </c>
      <c r="F420" t="s">
        <v>17</v>
      </c>
      <c r="G420">
        <v>4</v>
      </c>
      <c r="H420">
        <v>54104.22</v>
      </c>
      <c r="I420">
        <v>0.1</v>
      </c>
      <c r="J420">
        <v>135268.44</v>
      </c>
      <c r="K420">
        <v>194775.19</v>
      </c>
      <c r="L420">
        <v>59506.75</v>
      </c>
      <c r="M420" t="s">
        <v>46</v>
      </c>
    </row>
    <row r="421" spans="1:13" x14ac:dyDescent="0.3">
      <c r="A421" t="s">
        <v>554</v>
      </c>
      <c r="B421" s="1">
        <v>46001</v>
      </c>
      <c r="C421" t="s">
        <v>427</v>
      </c>
      <c r="D421" t="s">
        <v>34</v>
      </c>
      <c r="E421" t="s">
        <v>35</v>
      </c>
      <c r="F421" t="s">
        <v>51</v>
      </c>
      <c r="G421">
        <v>2</v>
      </c>
      <c r="H421">
        <v>8458.75</v>
      </c>
      <c r="I421">
        <v>0.2</v>
      </c>
      <c r="J421">
        <v>12062.84</v>
      </c>
      <c r="K421">
        <v>13534</v>
      </c>
      <c r="L421">
        <v>1471.16</v>
      </c>
      <c r="M421" t="s">
        <v>46</v>
      </c>
    </row>
    <row r="422" spans="1:13" x14ac:dyDescent="0.3">
      <c r="A422" t="s">
        <v>555</v>
      </c>
      <c r="B422" s="1">
        <v>45790</v>
      </c>
      <c r="C422" t="s">
        <v>249</v>
      </c>
      <c r="D422" t="s">
        <v>39</v>
      </c>
      <c r="E422" t="s">
        <v>40</v>
      </c>
      <c r="F422" t="s">
        <v>22</v>
      </c>
      <c r="G422">
        <v>2</v>
      </c>
      <c r="H422">
        <v>2961.88</v>
      </c>
      <c r="I422">
        <v>0.1</v>
      </c>
      <c r="J422">
        <v>3676.16</v>
      </c>
      <c r="K422">
        <v>5331.38</v>
      </c>
      <c r="L422">
        <v>1655.22</v>
      </c>
      <c r="M422" t="s">
        <v>28</v>
      </c>
    </row>
    <row r="423" spans="1:13" x14ac:dyDescent="0.3">
      <c r="A423" t="s">
        <v>556</v>
      </c>
      <c r="B423" s="1">
        <v>45873</v>
      </c>
      <c r="C423" t="s">
        <v>121</v>
      </c>
      <c r="D423" t="s">
        <v>15</v>
      </c>
      <c r="E423" t="s">
        <v>16</v>
      </c>
      <c r="F423" t="s">
        <v>51</v>
      </c>
      <c r="G423">
        <v>2</v>
      </c>
      <c r="H423">
        <v>23634.3</v>
      </c>
      <c r="I423">
        <v>0.1</v>
      </c>
      <c r="J423">
        <v>26656.6</v>
      </c>
      <c r="K423">
        <v>42541.74</v>
      </c>
      <c r="L423">
        <v>15885.14</v>
      </c>
      <c r="M423" t="s">
        <v>28</v>
      </c>
    </row>
    <row r="424" spans="1:13" x14ac:dyDescent="0.3">
      <c r="A424" t="s">
        <v>557</v>
      </c>
      <c r="B424" s="1">
        <v>45982</v>
      </c>
      <c r="C424" t="s">
        <v>326</v>
      </c>
      <c r="D424" t="s">
        <v>58</v>
      </c>
      <c r="E424" t="s">
        <v>40</v>
      </c>
      <c r="F424" t="s">
        <v>17</v>
      </c>
      <c r="G424">
        <v>3</v>
      </c>
      <c r="H424">
        <v>4473.4799999999996</v>
      </c>
      <c r="I424">
        <v>0.15</v>
      </c>
      <c r="J424">
        <v>10297.86</v>
      </c>
      <c r="K424">
        <v>11407.37</v>
      </c>
      <c r="L424">
        <v>1109.51</v>
      </c>
      <c r="M424" t="s">
        <v>18</v>
      </c>
    </row>
    <row r="425" spans="1:13" x14ac:dyDescent="0.3">
      <c r="A425" t="s">
        <v>558</v>
      </c>
      <c r="B425" s="1">
        <v>45810</v>
      </c>
      <c r="C425" t="s">
        <v>110</v>
      </c>
      <c r="D425" t="s">
        <v>25</v>
      </c>
      <c r="E425" t="s">
        <v>26</v>
      </c>
      <c r="F425" t="s">
        <v>17</v>
      </c>
      <c r="G425">
        <v>5</v>
      </c>
      <c r="H425">
        <v>1757.4</v>
      </c>
      <c r="I425">
        <v>0</v>
      </c>
      <c r="J425">
        <v>6901.85</v>
      </c>
      <c r="K425">
        <v>8787</v>
      </c>
      <c r="L425">
        <v>1885.15</v>
      </c>
      <c r="M425" t="s">
        <v>46</v>
      </c>
    </row>
    <row r="426" spans="1:13" x14ac:dyDescent="0.3">
      <c r="A426" t="s">
        <v>559</v>
      </c>
      <c r="B426" s="1">
        <v>45892</v>
      </c>
      <c r="C426" t="s">
        <v>237</v>
      </c>
      <c r="D426" t="s">
        <v>45</v>
      </c>
      <c r="E426" t="s">
        <v>16</v>
      </c>
      <c r="F426" t="s">
        <v>51</v>
      </c>
      <c r="G426">
        <v>2</v>
      </c>
      <c r="H426">
        <v>2534.6999999999998</v>
      </c>
      <c r="I426">
        <v>0.1</v>
      </c>
      <c r="J426">
        <v>3261.48</v>
      </c>
      <c r="K426">
        <v>4562.46</v>
      </c>
      <c r="L426">
        <v>1300.98</v>
      </c>
      <c r="M426" t="s">
        <v>46</v>
      </c>
    </row>
    <row r="427" spans="1:13" x14ac:dyDescent="0.3">
      <c r="A427" t="s">
        <v>560</v>
      </c>
      <c r="B427" s="1">
        <v>45982</v>
      </c>
      <c r="C427" t="s">
        <v>86</v>
      </c>
      <c r="D427" t="s">
        <v>15</v>
      </c>
      <c r="E427" t="s">
        <v>16</v>
      </c>
      <c r="F427" t="s">
        <v>17</v>
      </c>
      <c r="G427">
        <v>4</v>
      </c>
      <c r="H427">
        <v>20578.03</v>
      </c>
      <c r="I427">
        <v>0.1</v>
      </c>
      <c r="J427">
        <v>62282.720000000001</v>
      </c>
      <c r="K427">
        <v>74080.91</v>
      </c>
      <c r="L427">
        <v>11798.19</v>
      </c>
      <c r="M427" t="s">
        <v>18</v>
      </c>
    </row>
    <row r="428" spans="1:13" x14ac:dyDescent="0.3">
      <c r="A428" t="s">
        <v>561</v>
      </c>
      <c r="B428" s="1">
        <v>45703</v>
      </c>
      <c r="C428" t="s">
        <v>279</v>
      </c>
      <c r="D428" t="s">
        <v>31</v>
      </c>
      <c r="E428" t="s">
        <v>26</v>
      </c>
      <c r="F428" t="s">
        <v>27</v>
      </c>
      <c r="G428">
        <v>2</v>
      </c>
      <c r="H428">
        <v>838.52</v>
      </c>
      <c r="I428">
        <v>0.05</v>
      </c>
      <c r="J428">
        <v>1249.32</v>
      </c>
      <c r="K428">
        <v>1593.19</v>
      </c>
      <c r="L428">
        <v>343.87</v>
      </c>
      <c r="M428" t="s">
        <v>18</v>
      </c>
    </row>
    <row r="429" spans="1:13" x14ac:dyDescent="0.3">
      <c r="A429" t="s">
        <v>562</v>
      </c>
      <c r="B429" s="1">
        <v>45760</v>
      </c>
      <c r="C429" t="s">
        <v>117</v>
      </c>
      <c r="D429" t="s">
        <v>74</v>
      </c>
      <c r="E429" t="s">
        <v>35</v>
      </c>
      <c r="F429" t="s">
        <v>51</v>
      </c>
      <c r="G429">
        <v>4</v>
      </c>
      <c r="H429">
        <v>5899.04</v>
      </c>
      <c r="I429">
        <v>0.15</v>
      </c>
      <c r="J429">
        <v>16791.560000000001</v>
      </c>
      <c r="K429">
        <v>20056.740000000002</v>
      </c>
      <c r="L429">
        <v>3265.18</v>
      </c>
      <c r="M429" t="s">
        <v>36</v>
      </c>
    </row>
    <row r="430" spans="1:13" x14ac:dyDescent="0.3">
      <c r="A430" t="s">
        <v>563</v>
      </c>
      <c r="B430" s="1">
        <v>45785</v>
      </c>
      <c r="C430" t="s">
        <v>73</v>
      </c>
      <c r="D430" t="s">
        <v>34</v>
      </c>
      <c r="E430" t="s">
        <v>35</v>
      </c>
      <c r="F430" t="s">
        <v>51</v>
      </c>
      <c r="G430">
        <v>5</v>
      </c>
      <c r="H430">
        <v>7657.01</v>
      </c>
      <c r="I430">
        <v>0.05</v>
      </c>
      <c r="J430">
        <v>23565.35</v>
      </c>
      <c r="K430">
        <v>36370.800000000003</v>
      </c>
      <c r="L430">
        <v>12805.45</v>
      </c>
      <c r="M430" t="s">
        <v>28</v>
      </c>
    </row>
    <row r="431" spans="1:13" x14ac:dyDescent="0.3">
      <c r="A431" t="s">
        <v>564</v>
      </c>
      <c r="B431" s="1">
        <v>45691</v>
      </c>
      <c r="C431" t="s">
        <v>119</v>
      </c>
      <c r="D431" t="s">
        <v>45</v>
      </c>
      <c r="E431" t="s">
        <v>16</v>
      </c>
      <c r="F431" t="s">
        <v>51</v>
      </c>
      <c r="G431">
        <v>1</v>
      </c>
      <c r="H431">
        <v>2403.06</v>
      </c>
      <c r="I431">
        <v>0.15</v>
      </c>
      <c r="J431">
        <v>1689.59</v>
      </c>
      <c r="K431">
        <v>2042.6</v>
      </c>
      <c r="L431">
        <v>353.01</v>
      </c>
      <c r="M431" t="s">
        <v>28</v>
      </c>
    </row>
    <row r="432" spans="1:13" x14ac:dyDescent="0.3">
      <c r="A432" t="s">
        <v>565</v>
      </c>
      <c r="B432" s="1">
        <v>46009</v>
      </c>
      <c r="C432" t="s">
        <v>82</v>
      </c>
      <c r="D432" t="s">
        <v>54</v>
      </c>
      <c r="E432" t="s">
        <v>55</v>
      </c>
      <c r="F432" t="s">
        <v>51</v>
      </c>
      <c r="G432">
        <v>5</v>
      </c>
      <c r="H432">
        <v>1776.12</v>
      </c>
      <c r="I432">
        <v>0.2</v>
      </c>
      <c r="J432">
        <v>6129.25</v>
      </c>
      <c r="K432">
        <v>7104.48</v>
      </c>
      <c r="L432">
        <v>975.23</v>
      </c>
      <c r="M432" t="s">
        <v>18</v>
      </c>
    </row>
    <row r="433" spans="1:13" x14ac:dyDescent="0.3">
      <c r="A433" t="s">
        <v>566</v>
      </c>
      <c r="B433" s="1">
        <v>45864</v>
      </c>
      <c r="C433" t="s">
        <v>145</v>
      </c>
      <c r="D433" t="s">
        <v>34</v>
      </c>
      <c r="E433" t="s">
        <v>35</v>
      </c>
      <c r="F433" t="s">
        <v>22</v>
      </c>
      <c r="G433">
        <v>2</v>
      </c>
      <c r="H433">
        <v>9210.9500000000007</v>
      </c>
      <c r="I433">
        <v>0.05</v>
      </c>
      <c r="J433">
        <v>13379.36</v>
      </c>
      <c r="K433">
        <v>17500.810000000001</v>
      </c>
      <c r="L433">
        <v>4121.45</v>
      </c>
      <c r="M433" t="s">
        <v>46</v>
      </c>
    </row>
    <row r="434" spans="1:13" x14ac:dyDescent="0.3">
      <c r="A434" t="s">
        <v>567</v>
      </c>
      <c r="B434" s="1">
        <v>45845</v>
      </c>
      <c r="C434" t="s">
        <v>548</v>
      </c>
      <c r="D434" t="s">
        <v>45</v>
      </c>
      <c r="E434" t="s">
        <v>16</v>
      </c>
      <c r="F434" t="s">
        <v>17</v>
      </c>
      <c r="G434">
        <v>2</v>
      </c>
      <c r="H434">
        <v>2334.4899999999998</v>
      </c>
      <c r="I434">
        <v>0</v>
      </c>
      <c r="J434">
        <v>3487.12</v>
      </c>
      <c r="K434">
        <v>4668.9799999999996</v>
      </c>
      <c r="L434">
        <v>1181.8599999999999</v>
      </c>
      <c r="M434" t="s">
        <v>18</v>
      </c>
    </row>
    <row r="435" spans="1:13" x14ac:dyDescent="0.3">
      <c r="A435" t="s">
        <v>568</v>
      </c>
      <c r="B435" s="1">
        <v>45996</v>
      </c>
      <c r="C435" t="s">
        <v>100</v>
      </c>
      <c r="D435" t="s">
        <v>31</v>
      </c>
      <c r="E435" t="s">
        <v>26</v>
      </c>
      <c r="F435" t="s">
        <v>17</v>
      </c>
      <c r="G435">
        <v>5</v>
      </c>
      <c r="H435">
        <v>989.04</v>
      </c>
      <c r="I435">
        <v>0.2</v>
      </c>
      <c r="J435">
        <v>2529.65</v>
      </c>
      <c r="K435">
        <v>3956.16</v>
      </c>
      <c r="L435">
        <v>1426.51</v>
      </c>
      <c r="M435" t="s">
        <v>36</v>
      </c>
    </row>
    <row r="436" spans="1:13" x14ac:dyDescent="0.3">
      <c r="A436" t="s">
        <v>569</v>
      </c>
      <c r="B436" s="1">
        <v>45900</v>
      </c>
      <c r="C436" t="s">
        <v>24</v>
      </c>
      <c r="D436" t="s">
        <v>15</v>
      </c>
      <c r="E436" t="s">
        <v>16</v>
      </c>
      <c r="F436" t="s">
        <v>22</v>
      </c>
      <c r="G436">
        <v>4</v>
      </c>
      <c r="H436">
        <v>22208.04</v>
      </c>
      <c r="I436">
        <v>0.15</v>
      </c>
      <c r="J436">
        <v>56765.599999999999</v>
      </c>
      <c r="K436">
        <v>75507.34</v>
      </c>
      <c r="L436">
        <v>18741.740000000002</v>
      </c>
      <c r="M436" t="s">
        <v>46</v>
      </c>
    </row>
    <row r="437" spans="1:13" x14ac:dyDescent="0.3">
      <c r="A437" t="s">
        <v>570</v>
      </c>
      <c r="B437" s="1">
        <v>45796</v>
      </c>
      <c r="C437" t="s">
        <v>108</v>
      </c>
      <c r="D437" t="s">
        <v>21</v>
      </c>
      <c r="E437" t="s">
        <v>16</v>
      </c>
      <c r="F437" t="s">
        <v>22</v>
      </c>
      <c r="G437">
        <v>3</v>
      </c>
      <c r="H437">
        <v>56787.31</v>
      </c>
      <c r="I437">
        <v>0.15</v>
      </c>
      <c r="J437">
        <v>118043.67</v>
      </c>
      <c r="K437">
        <v>144807.64000000001</v>
      </c>
      <c r="L437">
        <v>26763.97</v>
      </c>
      <c r="M437" t="s">
        <v>18</v>
      </c>
    </row>
    <row r="438" spans="1:13" x14ac:dyDescent="0.3">
      <c r="A438" t="s">
        <v>571</v>
      </c>
      <c r="B438" s="1">
        <v>45712</v>
      </c>
      <c r="C438" t="s">
        <v>57</v>
      </c>
      <c r="D438" t="s">
        <v>15</v>
      </c>
      <c r="E438" t="s">
        <v>16</v>
      </c>
      <c r="F438" t="s">
        <v>22</v>
      </c>
      <c r="G438">
        <v>5</v>
      </c>
      <c r="H438">
        <v>20301.66</v>
      </c>
      <c r="I438">
        <v>0.2</v>
      </c>
      <c r="J438">
        <v>63737.7</v>
      </c>
      <c r="K438">
        <v>81206.64</v>
      </c>
      <c r="L438">
        <v>17468.939999999999</v>
      </c>
      <c r="M438" t="s">
        <v>46</v>
      </c>
    </row>
    <row r="439" spans="1:13" x14ac:dyDescent="0.3">
      <c r="A439" t="s">
        <v>572</v>
      </c>
      <c r="B439" s="1">
        <v>45740</v>
      </c>
      <c r="C439" t="s">
        <v>119</v>
      </c>
      <c r="D439" t="s">
        <v>31</v>
      </c>
      <c r="E439" t="s">
        <v>26</v>
      </c>
      <c r="F439" t="s">
        <v>27</v>
      </c>
      <c r="G439">
        <v>5</v>
      </c>
      <c r="H439">
        <v>883.76</v>
      </c>
      <c r="I439">
        <v>0.05</v>
      </c>
      <c r="J439">
        <v>2877.65</v>
      </c>
      <c r="K439">
        <v>4197.8599999999997</v>
      </c>
      <c r="L439">
        <v>1320.21</v>
      </c>
      <c r="M439" t="s">
        <v>46</v>
      </c>
    </row>
    <row r="440" spans="1:13" x14ac:dyDescent="0.3">
      <c r="A440" t="s">
        <v>573</v>
      </c>
      <c r="B440" s="1">
        <v>45714</v>
      </c>
      <c r="C440" t="s">
        <v>217</v>
      </c>
      <c r="D440" t="s">
        <v>54</v>
      </c>
      <c r="E440" t="s">
        <v>55</v>
      </c>
      <c r="F440" t="s">
        <v>27</v>
      </c>
      <c r="G440">
        <v>3</v>
      </c>
      <c r="H440">
        <v>1861.79</v>
      </c>
      <c r="I440">
        <v>0.05</v>
      </c>
      <c r="J440">
        <v>2973.69</v>
      </c>
      <c r="K440">
        <v>5306.1</v>
      </c>
      <c r="L440">
        <v>2332.41</v>
      </c>
      <c r="M440" t="s">
        <v>46</v>
      </c>
    </row>
    <row r="441" spans="1:13" x14ac:dyDescent="0.3">
      <c r="A441" t="s">
        <v>574</v>
      </c>
      <c r="B441" s="1">
        <v>45789</v>
      </c>
      <c r="C441" t="s">
        <v>44</v>
      </c>
      <c r="D441" t="s">
        <v>15</v>
      </c>
      <c r="E441" t="s">
        <v>16</v>
      </c>
      <c r="F441" t="s">
        <v>22</v>
      </c>
      <c r="G441">
        <v>5</v>
      </c>
      <c r="H441">
        <v>20245.68</v>
      </c>
      <c r="I441">
        <v>0</v>
      </c>
      <c r="J441">
        <v>80398</v>
      </c>
      <c r="K441">
        <v>101228.4</v>
      </c>
      <c r="L441">
        <v>20830.400000000001</v>
      </c>
      <c r="M441" t="s">
        <v>18</v>
      </c>
    </row>
    <row r="442" spans="1:13" x14ac:dyDescent="0.3">
      <c r="A442" t="s">
        <v>575</v>
      </c>
      <c r="B442" s="1">
        <v>45678</v>
      </c>
      <c r="C442" t="s">
        <v>123</v>
      </c>
      <c r="D442" t="s">
        <v>31</v>
      </c>
      <c r="E442" t="s">
        <v>26</v>
      </c>
      <c r="F442" t="s">
        <v>51</v>
      </c>
      <c r="G442">
        <v>3</v>
      </c>
      <c r="H442">
        <v>956.37</v>
      </c>
      <c r="I442">
        <v>0.15</v>
      </c>
      <c r="J442">
        <v>1518.81</v>
      </c>
      <c r="K442">
        <v>2438.7399999999998</v>
      </c>
      <c r="L442">
        <v>919.93</v>
      </c>
      <c r="M442" t="s">
        <v>28</v>
      </c>
    </row>
    <row r="443" spans="1:13" x14ac:dyDescent="0.3">
      <c r="A443" t="s">
        <v>576</v>
      </c>
      <c r="B443" s="1">
        <v>45662</v>
      </c>
      <c r="C443" t="s">
        <v>82</v>
      </c>
      <c r="D443" t="s">
        <v>74</v>
      </c>
      <c r="E443" t="s">
        <v>35</v>
      </c>
      <c r="F443" t="s">
        <v>22</v>
      </c>
      <c r="G443">
        <v>1</v>
      </c>
      <c r="H443">
        <v>7007.38</v>
      </c>
      <c r="I443">
        <v>0</v>
      </c>
      <c r="J443">
        <v>4958.2700000000004</v>
      </c>
      <c r="K443">
        <v>7007.38</v>
      </c>
      <c r="L443">
        <v>2049.11</v>
      </c>
      <c r="M443" t="s">
        <v>28</v>
      </c>
    </row>
    <row r="444" spans="1:13" x14ac:dyDescent="0.3">
      <c r="A444" t="s">
        <v>577</v>
      </c>
      <c r="B444" s="1">
        <v>45848</v>
      </c>
      <c r="C444" t="s">
        <v>160</v>
      </c>
      <c r="D444" t="s">
        <v>34</v>
      </c>
      <c r="E444" t="s">
        <v>35</v>
      </c>
      <c r="F444" t="s">
        <v>22</v>
      </c>
      <c r="G444">
        <v>4</v>
      </c>
      <c r="H444">
        <v>8896.2199999999993</v>
      </c>
      <c r="I444">
        <v>0.2</v>
      </c>
      <c r="J444">
        <v>20980.639999999999</v>
      </c>
      <c r="K444">
        <v>28467.9</v>
      </c>
      <c r="L444">
        <v>7487.26</v>
      </c>
      <c r="M444" t="s">
        <v>36</v>
      </c>
    </row>
    <row r="445" spans="1:13" x14ac:dyDescent="0.3">
      <c r="A445" t="s">
        <v>578</v>
      </c>
      <c r="B445" s="1">
        <v>45902</v>
      </c>
      <c r="C445" t="s">
        <v>245</v>
      </c>
      <c r="D445" t="s">
        <v>74</v>
      </c>
      <c r="E445" t="s">
        <v>35</v>
      </c>
      <c r="F445" t="s">
        <v>22</v>
      </c>
      <c r="G445">
        <v>4</v>
      </c>
      <c r="H445">
        <v>6351.43</v>
      </c>
      <c r="I445">
        <v>0.15</v>
      </c>
      <c r="J445">
        <v>16066.92</v>
      </c>
      <c r="K445">
        <v>21594.86</v>
      </c>
      <c r="L445">
        <v>5527.94</v>
      </c>
      <c r="M445" t="s">
        <v>36</v>
      </c>
    </row>
    <row r="446" spans="1:13" x14ac:dyDescent="0.3">
      <c r="A446" t="s">
        <v>579</v>
      </c>
      <c r="B446" s="1">
        <v>45905</v>
      </c>
      <c r="C446" t="s">
        <v>92</v>
      </c>
      <c r="D446" t="s">
        <v>45</v>
      </c>
      <c r="E446" t="s">
        <v>16</v>
      </c>
      <c r="F446" t="s">
        <v>27</v>
      </c>
      <c r="G446">
        <v>1</v>
      </c>
      <c r="H446">
        <v>2705.61</v>
      </c>
      <c r="I446">
        <v>0.05</v>
      </c>
      <c r="J446">
        <v>1439.82</v>
      </c>
      <c r="K446">
        <v>2570.33</v>
      </c>
      <c r="L446">
        <v>1130.51</v>
      </c>
      <c r="M446" t="s">
        <v>46</v>
      </c>
    </row>
    <row r="447" spans="1:13" x14ac:dyDescent="0.3">
      <c r="A447" t="s">
        <v>580</v>
      </c>
      <c r="B447" s="1">
        <v>45724</v>
      </c>
      <c r="C447" t="s">
        <v>363</v>
      </c>
      <c r="D447" t="s">
        <v>58</v>
      </c>
      <c r="E447" t="s">
        <v>40</v>
      </c>
      <c r="F447" t="s">
        <v>27</v>
      </c>
      <c r="G447">
        <v>4</v>
      </c>
      <c r="H447">
        <v>4826.32</v>
      </c>
      <c r="I447">
        <v>0.1</v>
      </c>
      <c r="J447">
        <v>12651.12</v>
      </c>
      <c r="K447">
        <v>17374.75</v>
      </c>
      <c r="L447">
        <v>4723.63</v>
      </c>
      <c r="M447" t="s">
        <v>36</v>
      </c>
    </row>
    <row r="448" spans="1:13" x14ac:dyDescent="0.3">
      <c r="A448" t="s">
        <v>581</v>
      </c>
      <c r="B448" s="1">
        <v>45664</v>
      </c>
      <c r="C448" t="s">
        <v>38</v>
      </c>
      <c r="D448" t="s">
        <v>74</v>
      </c>
      <c r="E448" t="s">
        <v>35</v>
      </c>
      <c r="F448" t="s">
        <v>22</v>
      </c>
      <c r="G448">
        <v>4</v>
      </c>
      <c r="H448">
        <v>6701.47</v>
      </c>
      <c r="I448">
        <v>0</v>
      </c>
      <c r="J448">
        <v>14711.68</v>
      </c>
      <c r="K448">
        <v>26805.88</v>
      </c>
      <c r="L448">
        <v>12094.2</v>
      </c>
      <c r="M448" t="s">
        <v>28</v>
      </c>
    </row>
    <row r="449" spans="1:13" x14ac:dyDescent="0.3">
      <c r="A449" t="s">
        <v>582</v>
      </c>
      <c r="B449" s="1">
        <v>45785</v>
      </c>
      <c r="C449" t="s">
        <v>363</v>
      </c>
      <c r="D449" t="s">
        <v>39</v>
      </c>
      <c r="E449" t="s">
        <v>40</v>
      </c>
      <c r="F449" t="s">
        <v>51</v>
      </c>
      <c r="G449">
        <v>5</v>
      </c>
      <c r="H449">
        <v>3303.5</v>
      </c>
      <c r="I449">
        <v>0.2</v>
      </c>
      <c r="J449">
        <v>9180.9500000000007</v>
      </c>
      <c r="K449">
        <v>13214</v>
      </c>
      <c r="L449">
        <v>4033.05</v>
      </c>
      <c r="M449" t="s">
        <v>18</v>
      </c>
    </row>
    <row r="450" spans="1:13" x14ac:dyDescent="0.3">
      <c r="A450" t="s">
        <v>583</v>
      </c>
      <c r="B450" s="1">
        <v>45738</v>
      </c>
      <c r="C450" t="s">
        <v>64</v>
      </c>
      <c r="D450" t="s">
        <v>45</v>
      </c>
      <c r="E450" t="s">
        <v>16</v>
      </c>
      <c r="F450" t="s">
        <v>27</v>
      </c>
      <c r="G450">
        <v>5</v>
      </c>
      <c r="H450">
        <v>2571.6999999999998</v>
      </c>
      <c r="I450">
        <v>0.2</v>
      </c>
      <c r="J450">
        <v>7045.5</v>
      </c>
      <c r="K450">
        <v>10286.799999999999</v>
      </c>
      <c r="L450">
        <v>3241.3</v>
      </c>
      <c r="M450" t="s">
        <v>18</v>
      </c>
    </row>
    <row r="451" spans="1:13" x14ac:dyDescent="0.3">
      <c r="A451" t="s">
        <v>584</v>
      </c>
      <c r="B451" s="1">
        <v>45800</v>
      </c>
      <c r="C451" t="s">
        <v>174</v>
      </c>
      <c r="D451" t="s">
        <v>45</v>
      </c>
      <c r="E451" t="s">
        <v>16</v>
      </c>
      <c r="F451" t="s">
        <v>22</v>
      </c>
      <c r="G451">
        <v>1</v>
      </c>
      <c r="H451">
        <v>2415.4499999999998</v>
      </c>
      <c r="I451">
        <v>0.15</v>
      </c>
      <c r="J451">
        <v>1575.4</v>
      </c>
      <c r="K451">
        <v>2053.13</v>
      </c>
      <c r="L451">
        <v>477.73</v>
      </c>
      <c r="M451" t="s">
        <v>18</v>
      </c>
    </row>
    <row r="452" spans="1:13" x14ac:dyDescent="0.3">
      <c r="A452" t="s">
        <v>585</v>
      </c>
      <c r="B452" s="1">
        <v>45887</v>
      </c>
      <c r="C452" t="s">
        <v>129</v>
      </c>
      <c r="D452" t="s">
        <v>74</v>
      </c>
      <c r="E452" t="s">
        <v>35</v>
      </c>
      <c r="F452" t="s">
        <v>27</v>
      </c>
      <c r="G452">
        <v>2</v>
      </c>
      <c r="H452">
        <v>6891.64</v>
      </c>
      <c r="I452">
        <v>0</v>
      </c>
      <c r="J452">
        <v>8642.06</v>
      </c>
      <c r="K452">
        <v>13783.28</v>
      </c>
      <c r="L452">
        <v>5141.22</v>
      </c>
      <c r="M452" t="s">
        <v>18</v>
      </c>
    </row>
    <row r="453" spans="1:13" x14ac:dyDescent="0.3">
      <c r="A453" t="s">
        <v>586</v>
      </c>
      <c r="B453" s="1">
        <v>45864</v>
      </c>
      <c r="C453" t="s">
        <v>110</v>
      </c>
      <c r="D453" t="s">
        <v>34</v>
      </c>
      <c r="E453" t="s">
        <v>35</v>
      </c>
      <c r="F453" t="s">
        <v>17</v>
      </c>
      <c r="G453">
        <v>1</v>
      </c>
      <c r="H453">
        <v>7680.21</v>
      </c>
      <c r="I453">
        <v>0.15</v>
      </c>
      <c r="J453">
        <v>6258.63</v>
      </c>
      <c r="K453">
        <v>6528.18</v>
      </c>
      <c r="L453">
        <v>269.55</v>
      </c>
      <c r="M453" t="s">
        <v>36</v>
      </c>
    </row>
    <row r="454" spans="1:13" x14ac:dyDescent="0.3">
      <c r="A454" t="s">
        <v>587</v>
      </c>
      <c r="B454" s="1">
        <v>45945</v>
      </c>
      <c r="C454" t="s">
        <v>449</v>
      </c>
      <c r="D454" t="s">
        <v>15</v>
      </c>
      <c r="E454" t="s">
        <v>16</v>
      </c>
      <c r="F454" t="s">
        <v>27</v>
      </c>
      <c r="G454">
        <v>5</v>
      </c>
      <c r="H454">
        <v>23716.49</v>
      </c>
      <c r="I454">
        <v>0.2</v>
      </c>
      <c r="J454">
        <v>78032.3</v>
      </c>
      <c r="K454">
        <v>94865.96</v>
      </c>
      <c r="L454">
        <v>16833.66</v>
      </c>
      <c r="M454" t="s">
        <v>28</v>
      </c>
    </row>
    <row r="455" spans="1:13" x14ac:dyDescent="0.3">
      <c r="A455" t="s">
        <v>588</v>
      </c>
      <c r="B455" s="1">
        <v>45975</v>
      </c>
      <c r="C455" t="s">
        <v>137</v>
      </c>
      <c r="D455" t="s">
        <v>34</v>
      </c>
      <c r="E455" t="s">
        <v>35</v>
      </c>
      <c r="F455" t="s">
        <v>27</v>
      </c>
      <c r="G455">
        <v>1</v>
      </c>
      <c r="H455">
        <v>8214.35</v>
      </c>
      <c r="I455">
        <v>0.05</v>
      </c>
      <c r="J455">
        <v>6469.17</v>
      </c>
      <c r="K455">
        <v>7803.63</v>
      </c>
      <c r="L455">
        <v>1334.46</v>
      </c>
      <c r="M455" t="s">
        <v>28</v>
      </c>
    </row>
    <row r="456" spans="1:13" x14ac:dyDescent="0.3">
      <c r="A456" t="s">
        <v>589</v>
      </c>
      <c r="B456" s="1">
        <v>45832</v>
      </c>
      <c r="C456" t="s">
        <v>427</v>
      </c>
      <c r="D456" t="s">
        <v>54</v>
      </c>
      <c r="E456" t="s">
        <v>55</v>
      </c>
      <c r="F456" t="s">
        <v>51</v>
      </c>
      <c r="G456">
        <v>1</v>
      </c>
      <c r="H456">
        <v>1699.83</v>
      </c>
      <c r="I456">
        <v>0</v>
      </c>
      <c r="J456">
        <v>1331.69</v>
      </c>
      <c r="K456">
        <v>1699.83</v>
      </c>
      <c r="L456">
        <v>368.14</v>
      </c>
      <c r="M456" t="s">
        <v>28</v>
      </c>
    </row>
    <row r="457" spans="1:13" x14ac:dyDescent="0.3">
      <c r="A457" t="s">
        <v>590</v>
      </c>
      <c r="B457" s="1">
        <v>45867</v>
      </c>
      <c r="C457" t="s">
        <v>100</v>
      </c>
      <c r="D457" t="s">
        <v>15</v>
      </c>
      <c r="E457" t="s">
        <v>16</v>
      </c>
      <c r="F457" t="s">
        <v>51</v>
      </c>
      <c r="G457">
        <v>1</v>
      </c>
      <c r="H457">
        <v>23416.09</v>
      </c>
      <c r="I457">
        <v>0.05</v>
      </c>
      <c r="J457">
        <v>14808.32</v>
      </c>
      <c r="K457">
        <v>22245.29</v>
      </c>
      <c r="L457">
        <v>7436.97</v>
      </c>
      <c r="M457" t="s">
        <v>46</v>
      </c>
    </row>
    <row r="458" spans="1:13" x14ac:dyDescent="0.3">
      <c r="A458" t="s">
        <v>591</v>
      </c>
      <c r="B458" s="1">
        <v>45755</v>
      </c>
      <c r="C458" t="s">
        <v>548</v>
      </c>
      <c r="D458" t="s">
        <v>25</v>
      </c>
      <c r="E458" t="s">
        <v>26</v>
      </c>
      <c r="F458" t="s">
        <v>51</v>
      </c>
      <c r="G458">
        <v>1</v>
      </c>
      <c r="H458">
        <v>1916.84</v>
      </c>
      <c r="I458">
        <v>0.15</v>
      </c>
      <c r="J458">
        <v>1087.02</v>
      </c>
      <c r="K458">
        <v>1629.31</v>
      </c>
      <c r="L458">
        <v>542.29</v>
      </c>
      <c r="M458" t="s">
        <v>36</v>
      </c>
    </row>
    <row r="459" spans="1:13" x14ac:dyDescent="0.3">
      <c r="A459" t="s">
        <v>592</v>
      </c>
      <c r="B459" s="1">
        <v>45892</v>
      </c>
      <c r="C459" t="s">
        <v>196</v>
      </c>
      <c r="D459" t="s">
        <v>74</v>
      </c>
      <c r="E459" t="s">
        <v>35</v>
      </c>
      <c r="F459" t="s">
        <v>22</v>
      </c>
      <c r="G459">
        <v>1</v>
      </c>
      <c r="H459">
        <v>7009.28</v>
      </c>
      <c r="I459">
        <v>0.2</v>
      </c>
      <c r="J459">
        <v>3775.23</v>
      </c>
      <c r="K459">
        <v>5607.42</v>
      </c>
      <c r="L459">
        <v>1832.19</v>
      </c>
      <c r="M459" t="s">
        <v>18</v>
      </c>
    </row>
    <row r="460" spans="1:13" x14ac:dyDescent="0.3">
      <c r="A460" t="s">
        <v>593</v>
      </c>
      <c r="B460" s="1">
        <v>45957</v>
      </c>
      <c r="C460" t="s">
        <v>363</v>
      </c>
      <c r="D460" t="s">
        <v>21</v>
      </c>
      <c r="E460" t="s">
        <v>16</v>
      </c>
      <c r="F460" t="s">
        <v>22</v>
      </c>
      <c r="G460">
        <v>5</v>
      </c>
      <c r="H460">
        <v>54260.91</v>
      </c>
      <c r="I460">
        <v>0</v>
      </c>
      <c r="J460">
        <v>189284.3</v>
      </c>
      <c r="K460">
        <v>271304.55</v>
      </c>
      <c r="L460">
        <v>82020.25</v>
      </c>
      <c r="M460" t="s">
        <v>46</v>
      </c>
    </row>
    <row r="461" spans="1:13" x14ac:dyDescent="0.3">
      <c r="A461" t="s">
        <v>594</v>
      </c>
      <c r="B461" s="1">
        <v>45822</v>
      </c>
      <c r="C461" t="s">
        <v>64</v>
      </c>
      <c r="D461" t="s">
        <v>45</v>
      </c>
      <c r="E461" t="s">
        <v>16</v>
      </c>
      <c r="F461" t="s">
        <v>27</v>
      </c>
      <c r="G461">
        <v>1</v>
      </c>
      <c r="H461">
        <v>2553.08</v>
      </c>
      <c r="I461">
        <v>0.15</v>
      </c>
      <c r="J461">
        <v>1785.95</v>
      </c>
      <c r="K461">
        <v>2170.12</v>
      </c>
      <c r="L461">
        <v>384.17</v>
      </c>
      <c r="M461" t="s">
        <v>18</v>
      </c>
    </row>
    <row r="462" spans="1:13" x14ac:dyDescent="0.3">
      <c r="A462" t="s">
        <v>595</v>
      </c>
      <c r="B462" s="1">
        <v>45808</v>
      </c>
      <c r="C462" t="s">
        <v>271</v>
      </c>
      <c r="D462" t="s">
        <v>58</v>
      </c>
      <c r="E462" t="s">
        <v>40</v>
      </c>
      <c r="F462" t="s">
        <v>22</v>
      </c>
      <c r="G462">
        <v>2</v>
      </c>
      <c r="H462">
        <v>4358.57</v>
      </c>
      <c r="I462">
        <v>0.1</v>
      </c>
      <c r="J462">
        <v>5845.2</v>
      </c>
      <c r="K462">
        <v>7845.43</v>
      </c>
      <c r="L462">
        <v>2000.23</v>
      </c>
      <c r="M462" t="s">
        <v>46</v>
      </c>
    </row>
    <row r="463" spans="1:13" x14ac:dyDescent="0.3">
      <c r="A463" t="s">
        <v>596</v>
      </c>
      <c r="B463" s="1">
        <v>45818</v>
      </c>
      <c r="C463" t="s">
        <v>548</v>
      </c>
      <c r="D463" t="s">
        <v>74</v>
      </c>
      <c r="E463" t="s">
        <v>35</v>
      </c>
      <c r="F463" t="s">
        <v>22</v>
      </c>
      <c r="G463">
        <v>5</v>
      </c>
      <c r="H463">
        <v>6761.94</v>
      </c>
      <c r="I463">
        <v>0.2</v>
      </c>
      <c r="J463">
        <v>20303.650000000001</v>
      </c>
      <c r="K463">
        <v>27047.759999999998</v>
      </c>
      <c r="L463">
        <v>6744.11</v>
      </c>
      <c r="M463" t="s">
        <v>46</v>
      </c>
    </row>
    <row r="464" spans="1:13" x14ac:dyDescent="0.3">
      <c r="A464" t="s">
        <v>597</v>
      </c>
      <c r="B464" s="1">
        <v>45725</v>
      </c>
      <c r="C464" t="s">
        <v>38</v>
      </c>
      <c r="D464" t="s">
        <v>25</v>
      </c>
      <c r="E464" t="s">
        <v>26</v>
      </c>
      <c r="F464" t="s">
        <v>22</v>
      </c>
      <c r="G464">
        <v>5</v>
      </c>
      <c r="H464">
        <v>1951.63</v>
      </c>
      <c r="I464">
        <v>0.1</v>
      </c>
      <c r="J464">
        <v>6494.9</v>
      </c>
      <c r="K464">
        <v>8782.34</v>
      </c>
      <c r="L464">
        <v>2287.44</v>
      </c>
      <c r="M464" t="s">
        <v>28</v>
      </c>
    </row>
    <row r="465" spans="1:13" x14ac:dyDescent="0.3">
      <c r="A465" t="s">
        <v>598</v>
      </c>
      <c r="B465" s="1">
        <v>45999</v>
      </c>
      <c r="C465" t="s">
        <v>38</v>
      </c>
      <c r="D465" t="s">
        <v>15</v>
      </c>
      <c r="E465" t="s">
        <v>16</v>
      </c>
      <c r="F465" t="s">
        <v>27</v>
      </c>
      <c r="G465">
        <v>3</v>
      </c>
      <c r="H465">
        <v>22310.81</v>
      </c>
      <c r="I465">
        <v>0.2</v>
      </c>
      <c r="J465">
        <v>44226.09</v>
      </c>
      <c r="K465">
        <v>53545.94</v>
      </c>
      <c r="L465">
        <v>9319.85</v>
      </c>
      <c r="M465" t="s">
        <v>28</v>
      </c>
    </row>
    <row r="466" spans="1:13" x14ac:dyDescent="0.3">
      <c r="A466" t="s">
        <v>599</v>
      </c>
      <c r="B466" s="1">
        <v>45685</v>
      </c>
      <c r="C466" t="s">
        <v>296</v>
      </c>
      <c r="D466" t="s">
        <v>74</v>
      </c>
      <c r="E466" t="s">
        <v>35</v>
      </c>
      <c r="F466" t="s">
        <v>17</v>
      </c>
      <c r="G466">
        <v>1</v>
      </c>
      <c r="H466">
        <v>6345.13</v>
      </c>
      <c r="I466">
        <v>0.2</v>
      </c>
      <c r="J466">
        <v>3748.01</v>
      </c>
      <c r="K466">
        <v>5076.1000000000004</v>
      </c>
      <c r="L466">
        <v>1328.09</v>
      </c>
      <c r="M466" t="s">
        <v>46</v>
      </c>
    </row>
    <row r="467" spans="1:13" x14ac:dyDescent="0.3">
      <c r="A467" t="s">
        <v>600</v>
      </c>
      <c r="B467" s="1">
        <v>45689</v>
      </c>
      <c r="C467" t="s">
        <v>48</v>
      </c>
      <c r="D467" t="s">
        <v>31</v>
      </c>
      <c r="E467" t="s">
        <v>26</v>
      </c>
      <c r="F467" t="s">
        <v>51</v>
      </c>
      <c r="G467">
        <v>2</v>
      </c>
      <c r="H467">
        <v>836.36</v>
      </c>
      <c r="I467">
        <v>0.1</v>
      </c>
      <c r="J467">
        <v>1297.52</v>
      </c>
      <c r="K467">
        <v>1505.45</v>
      </c>
      <c r="L467">
        <v>207.93</v>
      </c>
      <c r="M467" t="s">
        <v>46</v>
      </c>
    </row>
    <row r="468" spans="1:13" x14ac:dyDescent="0.3">
      <c r="A468" t="s">
        <v>601</v>
      </c>
      <c r="B468" s="1">
        <v>46003</v>
      </c>
      <c r="C468" t="s">
        <v>385</v>
      </c>
      <c r="D468" t="s">
        <v>39</v>
      </c>
      <c r="E468" t="s">
        <v>40</v>
      </c>
      <c r="F468" t="s">
        <v>22</v>
      </c>
      <c r="G468">
        <v>1</v>
      </c>
      <c r="H468">
        <v>2945.59</v>
      </c>
      <c r="I468">
        <v>0.1</v>
      </c>
      <c r="J468">
        <v>2411.2199999999998</v>
      </c>
      <c r="K468">
        <v>2651.03</v>
      </c>
      <c r="L468">
        <v>239.81</v>
      </c>
      <c r="M468" t="s">
        <v>18</v>
      </c>
    </row>
    <row r="469" spans="1:13" x14ac:dyDescent="0.3">
      <c r="A469" t="s">
        <v>602</v>
      </c>
      <c r="B469" s="1">
        <v>45853</v>
      </c>
      <c r="C469" t="s">
        <v>60</v>
      </c>
      <c r="D469" t="s">
        <v>25</v>
      </c>
      <c r="E469" t="s">
        <v>26</v>
      </c>
      <c r="F469" t="s">
        <v>27</v>
      </c>
      <c r="G469">
        <v>5</v>
      </c>
      <c r="H469">
        <v>1636.91</v>
      </c>
      <c r="I469">
        <v>0.1</v>
      </c>
      <c r="J469">
        <v>6509.1</v>
      </c>
      <c r="K469">
        <v>7366.1</v>
      </c>
      <c r="L469">
        <v>857</v>
      </c>
      <c r="M469" t="s">
        <v>28</v>
      </c>
    </row>
    <row r="470" spans="1:13" x14ac:dyDescent="0.3">
      <c r="A470" t="s">
        <v>603</v>
      </c>
      <c r="B470" s="1">
        <v>45884</v>
      </c>
      <c r="C470" t="s">
        <v>73</v>
      </c>
      <c r="D470" t="s">
        <v>39</v>
      </c>
      <c r="E470" t="s">
        <v>40</v>
      </c>
      <c r="F470" t="s">
        <v>51</v>
      </c>
      <c r="G470">
        <v>1</v>
      </c>
      <c r="H470">
        <v>3009.98</v>
      </c>
      <c r="I470">
        <v>0</v>
      </c>
      <c r="J470">
        <v>2354.94</v>
      </c>
      <c r="K470">
        <v>3009.98</v>
      </c>
      <c r="L470">
        <v>655.04</v>
      </c>
      <c r="M470" t="s">
        <v>46</v>
      </c>
    </row>
    <row r="471" spans="1:13" x14ac:dyDescent="0.3">
      <c r="A471" t="s">
        <v>604</v>
      </c>
      <c r="B471" s="1">
        <v>45753</v>
      </c>
      <c r="C471" t="s">
        <v>300</v>
      </c>
      <c r="D471" t="s">
        <v>25</v>
      </c>
      <c r="E471" t="s">
        <v>26</v>
      </c>
      <c r="F471" t="s">
        <v>17</v>
      </c>
      <c r="G471">
        <v>3</v>
      </c>
      <c r="H471">
        <v>1865.76</v>
      </c>
      <c r="I471">
        <v>0.15</v>
      </c>
      <c r="J471">
        <v>3209.52</v>
      </c>
      <c r="K471">
        <v>4757.6899999999996</v>
      </c>
      <c r="L471">
        <v>1548.17</v>
      </c>
      <c r="M471" t="s">
        <v>18</v>
      </c>
    </row>
    <row r="472" spans="1:13" x14ac:dyDescent="0.3">
      <c r="A472" t="s">
        <v>605</v>
      </c>
      <c r="B472" s="1">
        <v>45957</v>
      </c>
      <c r="C472" t="s">
        <v>215</v>
      </c>
      <c r="D472" t="s">
        <v>21</v>
      </c>
      <c r="E472" t="s">
        <v>16</v>
      </c>
      <c r="F472" t="s">
        <v>17</v>
      </c>
      <c r="G472">
        <v>4</v>
      </c>
      <c r="H472">
        <v>50930.73</v>
      </c>
      <c r="I472">
        <v>0.1</v>
      </c>
      <c r="J472">
        <v>151612.92000000001</v>
      </c>
      <c r="K472">
        <v>183350.63</v>
      </c>
      <c r="L472">
        <v>31737.71</v>
      </c>
      <c r="M472" t="s">
        <v>28</v>
      </c>
    </row>
    <row r="473" spans="1:13" x14ac:dyDescent="0.3">
      <c r="A473" t="s">
        <v>606</v>
      </c>
      <c r="B473" s="1">
        <v>45684</v>
      </c>
      <c r="C473" t="s">
        <v>155</v>
      </c>
      <c r="D473" t="s">
        <v>54</v>
      </c>
      <c r="E473" t="s">
        <v>55</v>
      </c>
      <c r="F473" t="s">
        <v>51</v>
      </c>
      <c r="G473">
        <v>2</v>
      </c>
      <c r="H473">
        <v>1736.15</v>
      </c>
      <c r="I473">
        <v>0</v>
      </c>
      <c r="J473">
        <v>2118.34</v>
      </c>
      <c r="K473">
        <v>3472.3</v>
      </c>
      <c r="L473">
        <v>1353.96</v>
      </c>
      <c r="M473" t="s">
        <v>18</v>
      </c>
    </row>
    <row r="474" spans="1:13" x14ac:dyDescent="0.3">
      <c r="A474" t="s">
        <v>607</v>
      </c>
      <c r="B474" s="1">
        <v>45927</v>
      </c>
      <c r="C474" t="s">
        <v>73</v>
      </c>
      <c r="D474" t="s">
        <v>58</v>
      </c>
      <c r="E474" t="s">
        <v>40</v>
      </c>
      <c r="F474" t="s">
        <v>22</v>
      </c>
      <c r="G474">
        <v>5</v>
      </c>
      <c r="H474">
        <v>4686.91</v>
      </c>
      <c r="I474">
        <v>0.1</v>
      </c>
      <c r="J474">
        <v>12784.95</v>
      </c>
      <c r="K474">
        <v>21091.1</v>
      </c>
      <c r="L474">
        <v>8306.15</v>
      </c>
      <c r="M474" t="s">
        <v>36</v>
      </c>
    </row>
    <row r="475" spans="1:13" x14ac:dyDescent="0.3">
      <c r="A475" t="s">
        <v>608</v>
      </c>
      <c r="B475" s="1">
        <v>45836</v>
      </c>
      <c r="C475" t="s">
        <v>73</v>
      </c>
      <c r="D475" t="s">
        <v>39</v>
      </c>
      <c r="E475" t="s">
        <v>40</v>
      </c>
      <c r="F475" t="s">
        <v>22</v>
      </c>
      <c r="G475">
        <v>2</v>
      </c>
      <c r="H475">
        <v>3138.19</v>
      </c>
      <c r="I475">
        <v>0.15</v>
      </c>
      <c r="J475">
        <v>4388.92</v>
      </c>
      <c r="K475">
        <v>5334.92</v>
      </c>
      <c r="L475">
        <v>946</v>
      </c>
      <c r="M475" t="s">
        <v>28</v>
      </c>
    </row>
    <row r="476" spans="1:13" x14ac:dyDescent="0.3">
      <c r="A476" t="s">
        <v>609</v>
      </c>
      <c r="B476" s="1">
        <v>45929</v>
      </c>
      <c r="C476" t="s">
        <v>291</v>
      </c>
      <c r="D476" t="s">
        <v>34</v>
      </c>
      <c r="E476" t="s">
        <v>35</v>
      </c>
      <c r="F476" t="s">
        <v>17</v>
      </c>
      <c r="G476">
        <v>3</v>
      </c>
      <c r="H476">
        <v>8929.51</v>
      </c>
      <c r="I476">
        <v>0.1</v>
      </c>
      <c r="J476">
        <v>15417.6</v>
      </c>
      <c r="K476">
        <v>24109.68</v>
      </c>
      <c r="L476">
        <v>8692.08</v>
      </c>
      <c r="M476" t="s">
        <v>36</v>
      </c>
    </row>
    <row r="477" spans="1:13" x14ac:dyDescent="0.3">
      <c r="A477" t="s">
        <v>610</v>
      </c>
      <c r="B477" s="1">
        <v>45976</v>
      </c>
      <c r="C477" t="s">
        <v>133</v>
      </c>
      <c r="D477" t="s">
        <v>34</v>
      </c>
      <c r="E477" t="s">
        <v>35</v>
      </c>
      <c r="F477" t="s">
        <v>17</v>
      </c>
      <c r="G477">
        <v>4</v>
      </c>
      <c r="H477">
        <v>8693.2900000000009</v>
      </c>
      <c r="I477">
        <v>0.05</v>
      </c>
      <c r="J477">
        <v>26388.2</v>
      </c>
      <c r="K477">
        <v>33034.5</v>
      </c>
      <c r="L477">
        <v>6646.3</v>
      </c>
      <c r="M477" t="s">
        <v>28</v>
      </c>
    </row>
    <row r="478" spans="1:13" x14ac:dyDescent="0.3">
      <c r="A478" t="s">
        <v>611</v>
      </c>
      <c r="B478" s="1">
        <v>45670</v>
      </c>
      <c r="C478" t="s">
        <v>432</v>
      </c>
      <c r="D478" t="s">
        <v>74</v>
      </c>
      <c r="E478" t="s">
        <v>35</v>
      </c>
      <c r="F478" t="s">
        <v>51</v>
      </c>
      <c r="G478">
        <v>1</v>
      </c>
      <c r="H478">
        <v>6791.17</v>
      </c>
      <c r="I478">
        <v>0.15</v>
      </c>
      <c r="J478">
        <v>3991.96</v>
      </c>
      <c r="K478">
        <v>5772.49</v>
      </c>
      <c r="L478">
        <v>1780.53</v>
      </c>
      <c r="M478" t="s">
        <v>18</v>
      </c>
    </row>
    <row r="479" spans="1:13" x14ac:dyDescent="0.3">
      <c r="A479" t="s">
        <v>612</v>
      </c>
      <c r="B479" s="1">
        <v>45921</v>
      </c>
      <c r="C479" t="s">
        <v>142</v>
      </c>
      <c r="D479" t="s">
        <v>54</v>
      </c>
      <c r="E479" t="s">
        <v>55</v>
      </c>
      <c r="F479" t="s">
        <v>17</v>
      </c>
      <c r="G479">
        <v>1</v>
      </c>
      <c r="H479">
        <v>1689.3</v>
      </c>
      <c r="I479">
        <v>0.1</v>
      </c>
      <c r="J479">
        <v>1394.23</v>
      </c>
      <c r="K479">
        <v>1520.37</v>
      </c>
      <c r="L479">
        <v>126.14</v>
      </c>
      <c r="M479" t="s">
        <v>46</v>
      </c>
    </row>
    <row r="480" spans="1:13" x14ac:dyDescent="0.3">
      <c r="A480" t="s">
        <v>613</v>
      </c>
      <c r="B480" s="1">
        <v>45980</v>
      </c>
      <c r="C480" t="s">
        <v>155</v>
      </c>
      <c r="D480" t="s">
        <v>39</v>
      </c>
      <c r="E480" t="s">
        <v>40</v>
      </c>
      <c r="F480" t="s">
        <v>22</v>
      </c>
      <c r="G480">
        <v>5</v>
      </c>
      <c r="H480">
        <v>3014.9</v>
      </c>
      <c r="I480">
        <v>0</v>
      </c>
      <c r="J480">
        <v>11307.75</v>
      </c>
      <c r="K480">
        <v>15074.5</v>
      </c>
      <c r="L480">
        <v>3766.75</v>
      </c>
      <c r="M480" t="s">
        <v>18</v>
      </c>
    </row>
    <row r="481" spans="1:13" x14ac:dyDescent="0.3">
      <c r="A481" t="s">
        <v>614</v>
      </c>
      <c r="B481" s="1">
        <v>45880</v>
      </c>
      <c r="C481" t="s">
        <v>44</v>
      </c>
      <c r="D481" t="s">
        <v>15</v>
      </c>
      <c r="E481" t="s">
        <v>16</v>
      </c>
      <c r="F481" t="s">
        <v>17</v>
      </c>
      <c r="G481">
        <v>2</v>
      </c>
      <c r="H481">
        <v>23666</v>
      </c>
      <c r="I481">
        <v>0.2</v>
      </c>
      <c r="J481">
        <v>33316.239999999998</v>
      </c>
      <c r="K481">
        <v>37865.599999999999</v>
      </c>
      <c r="L481">
        <v>4549.3599999999997</v>
      </c>
      <c r="M481" t="s">
        <v>46</v>
      </c>
    </row>
    <row r="482" spans="1:13" x14ac:dyDescent="0.3">
      <c r="A482" t="s">
        <v>615</v>
      </c>
      <c r="B482" s="1">
        <v>45749</v>
      </c>
      <c r="C482" t="s">
        <v>215</v>
      </c>
      <c r="D482" t="s">
        <v>21</v>
      </c>
      <c r="E482" t="s">
        <v>16</v>
      </c>
      <c r="F482" t="s">
        <v>17</v>
      </c>
      <c r="G482">
        <v>4</v>
      </c>
      <c r="H482">
        <v>50305.73</v>
      </c>
      <c r="I482">
        <v>0.1</v>
      </c>
      <c r="J482">
        <v>123083.76</v>
      </c>
      <c r="K482">
        <v>181100.63</v>
      </c>
      <c r="L482">
        <v>58016.87</v>
      </c>
      <c r="M482" t="s">
        <v>46</v>
      </c>
    </row>
    <row r="483" spans="1:13" x14ac:dyDescent="0.3">
      <c r="A483" t="s">
        <v>616</v>
      </c>
      <c r="B483" s="1">
        <v>45819</v>
      </c>
      <c r="C483" t="s">
        <v>145</v>
      </c>
      <c r="D483" t="s">
        <v>31</v>
      </c>
      <c r="E483" t="s">
        <v>26</v>
      </c>
      <c r="F483" t="s">
        <v>27</v>
      </c>
      <c r="G483">
        <v>4</v>
      </c>
      <c r="H483">
        <v>882.8</v>
      </c>
      <c r="I483">
        <v>0.15</v>
      </c>
      <c r="J483">
        <v>2386</v>
      </c>
      <c r="K483">
        <v>3001.52</v>
      </c>
      <c r="L483">
        <v>615.52</v>
      </c>
      <c r="M483" t="s">
        <v>36</v>
      </c>
    </row>
    <row r="484" spans="1:13" x14ac:dyDescent="0.3">
      <c r="A484" t="s">
        <v>617</v>
      </c>
      <c r="B484" s="1">
        <v>45681</v>
      </c>
      <c r="C484" t="s">
        <v>24</v>
      </c>
      <c r="D484" t="s">
        <v>39</v>
      </c>
      <c r="E484" t="s">
        <v>40</v>
      </c>
      <c r="F484" t="s">
        <v>17</v>
      </c>
      <c r="G484">
        <v>1</v>
      </c>
      <c r="H484">
        <v>3357.41</v>
      </c>
      <c r="I484">
        <v>0.2</v>
      </c>
      <c r="J484">
        <v>1810.59</v>
      </c>
      <c r="K484">
        <v>2685.93</v>
      </c>
      <c r="L484">
        <v>875.34</v>
      </c>
      <c r="M484" t="s">
        <v>28</v>
      </c>
    </row>
    <row r="485" spans="1:13" x14ac:dyDescent="0.3">
      <c r="A485" t="s">
        <v>618</v>
      </c>
      <c r="B485" s="1">
        <v>45702</v>
      </c>
      <c r="C485" t="s">
        <v>203</v>
      </c>
      <c r="D485" t="s">
        <v>39</v>
      </c>
      <c r="E485" t="s">
        <v>40</v>
      </c>
      <c r="F485" t="s">
        <v>27</v>
      </c>
      <c r="G485">
        <v>1</v>
      </c>
      <c r="H485">
        <v>3072.86</v>
      </c>
      <c r="I485">
        <v>0.1</v>
      </c>
      <c r="J485">
        <v>2389.5100000000002</v>
      </c>
      <c r="K485">
        <v>2765.57</v>
      </c>
      <c r="L485">
        <v>376.06</v>
      </c>
      <c r="M485" t="s">
        <v>18</v>
      </c>
    </row>
    <row r="486" spans="1:13" x14ac:dyDescent="0.3">
      <c r="A486" t="s">
        <v>619</v>
      </c>
      <c r="B486" s="1">
        <v>45858</v>
      </c>
      <c r="C486" t="s">
        <v>66</v>
      </c>
      <c r="D486" t="s">
        <v>74</v>
      </c>
      <c r="E486" t="s">
        <v>35</v>
      </c>
      <c r="F486" t="s">
        <v>51</v>
      </c>
      <c r="G486">
        <v>1</v>
      </c>
      <c r="H486">
        <v>6135.83</v>
      </c>
      <c r="I486">
        <v>0.15</v>
      </c>
      <c r="J486">
        <v>3829.03</v>
      </c>
      <c r="K486">
        <v>5215.46</v>
      </c>
      <c r="L486">
        <v>1386.43</v>
      </c>
      <c r="M486" t="s">
        <v>46</v>
      </c>
    </row>
    <row r="487" spans="1:13" x14ac:dyDescent="0.3">
      <c r="A487" t="s">
        <v>620</v>
      </c>
      <c r="B487" s="1">
        <v>45721</v>
      </c>
      <c r="C487" t="s">
        <v>119</v>
      </c>
      <c r="D487" t="s">
        <v>31</v>
      </c>
      <c r="E487" t="s">
        <v>26</v>
      </c>
      <c r="F487" t="s">
        <v>17</v>
      </c>
      <c r="G487">
        <v>3</v>
      </c>
      <c r="H487">
        <v>909.91</v>
      </c>
      <c r="I487">
        <v>0</v>
      </c>
      <c r="J487">
        <v>1858.62</v>
      </c>
      <c r="K487">
        <v>2729.73</v>
      </c>
      <c r="L487">
        <v>871.11</v>
      </c>
      <c r="M487" t="s">
        <v>18</v>
      </c>
    </row>
    <row r="488" spans="1:13" x14ac:dyDescent="0.3">
      <c r="A488" t="s">
        <v>621</v>
      </c>
      <c r="B488" s="1">
        <v>45834</v>
      </c>
      <c r="C488" t="s">
        <v>50</v>
      </c>
      <c r="D488" t="s">
        <v>39</v>
      </c>
      <c r="E488" t="s">
        <v>40</v>
      </c>
      <c r="F488" t="s">
        <v>27</v>
      </c>
      <c r="G488">
        <v>5</v>
      </c>
      <c r="H488">
        <v>3358.91</v>
      </c>
      <c r="I488">
        <v>0</v>
      </c>
      <c r="J488">
        <v>10018.75</v>
      </c>
      <c r="K488">
        <v>16794.55</v>
      </c>
      <c r="L488">
        <v>6775.8</v>
      </c>
      <c r="M488" t="s">
        <v>46</v>
      </c>
    </row>
    <row r="489" spans="1:13" x14ac:dyDescent="0.3">
      <c r="A489" t="s">
        <v>622</v>
      </c>
      <c r="B489" s="1">
        <v>45716</v>
      </c>
      <c r="C489" t="s">
        <v>191</v>
      </c>
      <c r="D489" t="s">
        <v>45</v>
      </c>
      <c r="E489" t="s">
        <v>16</v>
      </c>
      <c r="F489" t="s">
        <v>17</v>
      </c>
      <c r="G489">
        <v>2</v>
      </c>
      <c r="H489">
        <v>2376.37</v>
      </c>
      <c r="I489">
        <v>0.05</v>
      </c>
      <c r="J489">
        <v>3521.1</v>
      </c>
      <c r="K489">
        <v>4515.1000000000004</v>
      </c>
      <c r="L489">
        <v>994</v>
      </c>
      <c r="M489" t="s">
        <v>18</v>
      </c>
    </row>
    <row r="490" spans="1:13" x14ac:dyDescent="0.3">
      <c r="A490" t="s">
        <v>623</v>
      </c>
      <c r="B490" s="1">
        <v>45759</v>
      </c>
      <c r="C490" t="s">
        <v>249</v>
      </c>
      <c r="D490" t="s">
        <v>39</v>
      </c>
      <c r="E490" t="s">
        <v>40</v>
      </c>
      <c r="F490" t="s">
        <v>27</v>
      </c>
      <c r="G490">
        <v>1</v>
      </c>
      <c r="H490">
        <v>3040.44</v>
      </c>
      <c r="I490">
        <v>0.1</v>
      </c>
      <c r="J490">
        <v>2297.35</v>
      </c>
      <c r="K490">
        <v>2736.4</v>
      </c>
      <c r="L490">
        <v>439.05</v>
      </c>
      <c r="M490" t="s">
        <v>28</v>
      </c>
    </row>
    <row r="491" spans="1:13" x14ac:dyDescent="0.3">
      <c r="A491" t="s">
        <v>624</v>
      </c>
      <c r="B491" s="1">
        <v>45757</v>
      </c>
      <c r="C491" t="s">
        <v>96</v>
      </c>
      <c r="D491" t="s">
        <v>34</v>
      </c>
      <c r="E491" t="s">
        <v>35</v>
      </c>
      <c r="F491" t="s">
        <v>27</v>
      </c>
      <c r="G491">
        <v>2</v>
      </c>
      <c r="H491">
        <v>8703.18</v>
      </c>
      <c r="I491">
        <v>0.05</v>
      </c>
      <c r="J491">
        <v>9775.2000000000007</v>
      </c>
      <c r="K491">
        <v>16536.04</v>
      </c>
      <c r="L491">
        <v>6760.84</v>
      </c>
      <c r="M491" t="s">
        <v>18</v>
      </c>
    </row>
    <row r="492" spans="1:13" x14ac:dyDescent="0.3">
      <c r="A492" t="s">
        <v>625</v>
      </c>
      <c r="B492" s="1">
        <v>45948</v>
      </c>
      <c r="C492" t="s">
        <v>106</v>
      </c>
      <c r="D492" t="s">
        <v>34</v>
      </c>
      <c r="E492" t="s">
        <v>35</v>
      </c>
      <c r="F492" t="s">
        <v>51</v>
      </c>
      <c r="G492">
        <v>5</v>
      </c>
      <c r="H492">
        <v>7909.07</v>
      </c>
      <c r="I492">
        <v>0.1</v>
      </c>
      <c r="J492">
        <v>30743</v>
      </c>
      <c r="K492">
        <v>35590.82</v>
      </c>
      <c r="L492">
        <v>4847.82</v>
      </c>
      <c r="M492" t="s">
        <v>18</v>
      </c>
    </row>
    <row r="493" spans="1:13" x14ac:dyDescent="0.3">
      <c r="A493" t="s">
        <v>626</v>
      </c>
      <c r="B493" s="1">
        <v>45986</v>
      </c>
      <c r="C493" t="s">
        <v>188</v>
      </c>
      <c r="D493" t="s">
        <v>45</v>
      </c>
      <c r="E493" t="s">
        <v>16</v>
      </c>
      <c r="F493" t="s">
        <v>51</v>
      </c>
      <c r="G493">
        <v>1</v>
      </c>
      <c r="H493">
        <v>2360.7600000000002</v>
      </c>
      <c r="I493">
        <v>0.1</v>
      </c>
      <c r="J493">
        <v>1528.86</v>
      </c>
      <c r="K493">
        <v>2124.6799999999998</v>
      </c>
      <c r="L493">
        <v>595.82000000000005</v>
      </c>
      <c r="M493" t="s">
        <v>28</v>
      </c>
    </row>
    <row r="494" spans="1:13" x14ac:dyDescent="0.3">
      <c r="A494" t="s">
        <v>627</v>
      </c>
      <c r="B494" s="1">
        <v>45814</v>
      </c>
      <c r="C494" t="s">
        <v>77</v>
      </c>
      <c r="D494" t="s">
        <v>45</v>
      </c>
      <c r="E494" t="s">
        <v>16</v>
      </c>
      <c r="F494" t="s">
        <v>17</v>
      </c>
      <c r="G494">
        <v>3</v>
      </c>
      <c r="H494">
        <v>2429.37</v>
      </c>
      <c r="I494">
        <v>0.15</v>
      </c>
      <c r="J494">
        <v>4992.84</v>
      </c>
      <c r="K494">
        <v>6194.89</v>
      </c>
      <c r="L494">
        <v>1202.05</v>
      </c>
      <c r="M494" t="s">
        <v>46</v>
      </c>
    </row>
    <row r="495" spans="1:13" x14ac:dyDescent="0.3">
      <c r="A495" t="s">
        <v>628</v>
      </c>
      <c r="B495" s="1">
        <v>45933</v>
      </c>
      <c r="C495" t="s">
        <v>112</v>
      </c>
      <c r="D495" t="s">
        <v>58</v>
      </c>
      <c r="E495" t="s">
        <v>40</v>
      </c>
      <c r="F495" t="s">
        <v>51</v>
      </c>
      <c r="G495">
        <v>1</v>
      </c>
      <c r="H495">
        <v>4176</v>
      </c>
      <c r="I495">
        <v>0.1</v>
      </c>
      <c r="J495">
        <v>3441.05</v>
      </c>
      <c r="K495">
        <v>3758.4</v>
      </c>
      <c r="L495">
        <v>317.35000000000002</v>
      </c>
      <c r="M495" t="s">
        <v>36</v>
      </c>
    </row>
    <row r="496" spans="1:13" x14ac:dyDescent="0.3">
      <c r="A496" t="s">
        <v>629</v>
      </c>
      <c r="B496" s="1">
        <v>45954</v>
      </c>
      <c r="C496" t="s">
        <v>366</v>
      </c>
      <c r="D496" t="s">
        <v>15</v>
      </c>
      <c r="E496" t="s">
        <v>16</v>
      </c>
      <c r="F496" t="s">
        <v>22</v>
      </c>
      <c r="G496">
        <v>1</v>
      </c>
      <c r="H496">
        <v>23375.63</v>
      </c>
      <c r="I496">
        <v>0.2</v>
      </c>
      <c r="J496">
        <v>15573.95</v>
      </c>
      <c r="K496">
        <v>18700.5</v>
      </c>
      <c r="L496">
        <v>3126.55</v>
      </c>
      <c r="M496" t="s">
        <v>36</v>
      </c>
    </row>
    <row r="497" spans="1:13" x14ac:dyDescent="0.3">
      <c r="A497" t="s">
        <v>630</v>
      </c>
      <c r="B497" s="1">
        <v>45992</v>
      </c>
      <c r="C497" t="s">
        <v>155</v>
      </c>
      <c r="D497" t="s">
        <v>39</v>
      </c>
      <c r="E497" t="s">
        <v>40</v>
      </c>
      <c r="F497" t="s">
        <v>22</v>
      </c>
      <c r="G497">
        <v>3</v>
      </c>
      <c r="H497">
        <v>3225.39</v>
      </c>
      <c r="I497">
        <v>0.2</v>
      </c>
      <c r="J497">
        <v>7425.57</v>
      </c>
      <c r="K497">
        <v>7740.94</v>
      </c>
      <c r="L497">
        <v>315.37</v>
      </c>
      <c r="M497" t="s">
        <v>28</v>
      </c>
    </row>
    <row r="498" spans="1:13" x14ac:dyDescent="0.3">
      <c r="A498" t="s">
        <v>631</v>
      </c>
      <c r="B498" s="1">
        <v>45895</v>
      </c>
      <c r="C498" t="s">
        <v>64</v>
      </c>
      <c r="D498" t="s">
        <v>74</v>
      </c>
      <c r="E498" t="s">
        <v>35</v>
      </c>
      <c r="F498" t="s">
        <v>17</v>
      </c>
      <c r="G498">
        <v>2</v>
      </c>
      <c r="H498">
        <v>6228.3</v>
      </c>
      <c r="I498">
        <v>0.2</v>
      </c>
      <c r="J498">
        <v>9532.98</v>
      </c>
      <c r="K498">
        <v>9965.2800000000007</v>
      </c>
      <c r="L498">
        <v>432.3</v>
      </c>
      <c r="M498" t="s">
        <v>18</v>
      </c>
    </row>
    <row r="499" spans="1:13" x14ac:dyDescent="0.3">
      <c r="A499" t="s">
        <v>632</v>
      </c>
      <c r="B499" s="1">
        <v>45972</v>
      </c>
      <c r="C499" t="s">
        <v>62</v>
      </c>
      <c r="D499" t="s">
        <v>34</v>
      </c>
      <c r="E499" t="s">
        <v>35</v>
      </c>
      <c r="F499" t="s">
        <v>22</v>
      </c>
      <c r="G499">
        <v>5</v>
      </c>
      <c r="H499">
        <v>9091.57</v>
      </c>
      <c r="I499">
        <v>0</v>
      </c>
      <c r="J499">
        <v>30415.95</v>
      </c>
      <c r="K499">
        <v>45457.85</v>
      </c>
      <c r="L499">
        <v>15041.9</v>
      </c>
      <c r="M499" t="s">
        <v>46</v>
      </c>
    </row>
    <row r="500" spans="1:13" x14ac:dyDescent="0.3">
      <c r="A500" t="s">
        <v>633</v>
      </c>
      <c r="B500" s="1">
        <v>45732</v>
      </c>
      <c r="C500" t="s">
        <v>385</v>
      </c>
      <c r="D500" t="s">
        <v>54</v>
      </c>
      <c r="E500" t="s">
        <v>55</v>
      </c>
      <c r="F500" t="s">
        <v>27</v>
      </c>
      <c r="G500">
        <v>2</v>
      </c>
      <c r="H500">
        <v>1823.69</v>
      </c>
      <c r="I500">
        <v>0.05</v>
      </c>
      <c r="J500">
        <v>2489.7199999999998</v>
      </c>
      <c r="K500">
        <v>3465.01</v>
      </c>
      <c r="L500">
        <v>975.29</v>
      </c>
      <c r="M500" t="s">
        <v>28</v>
      </c>
    </row>
    <row r="501" spans="1:13" x14ac:dyDescent="0.3">
      <c r="A501" t="s">
        <v>634</v>
      </c>
      <c r="B501" s="1">
        <v>45777</v>
      </c>
      <c r="C501" t="s">
        <v>119</v>
      </c>
      <c r="D501" t="s">
        <v>21</v>
      </c>
      <c r="E501" t="s">
        <v>16</v>
      </c>
      <c r="F501" t="s">
        <v>22</v>
      </c>
      <c r="G501">
        <v>2</v>
      </c>
      <c r="H501">
        <v>52407.93</v>
      </c>
      <c r="I501">
        <v>0.15</v>
      </c>
      <c r="J501">
        <v>66873.119999999995</v>
      </c>
      <c r="K501">
        <v>89093.48</v>
      </c>
      <c r="L501">
        <v>22220.36</v>
      </c>
      <c r="M501" t="s">
        <v>28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DC85-A3EC-467E-9AF3-0E1812918304}">
  <dimension ref="A1:M6"/>
  <sheetViews>
    <sheetView zoomScale="101" workbookViewId="0">
      <selection activeCell="M3" sqref="M3:M4"/>
    </sheetView>
  </sheetViews>
  <sheetFormatPr defaultRowHeight="14.4" x14ac:dyDescent="0.3"/>
  <cols>
    <col min="1" max="1" width="15.33203125" customWidth="1"/>
    <col min="4" max="4" width="12.6640625" customWidth="1"/>
    <col min="5" max="5" width="10.5546875" customWidth="1"/>
    <col min="7" max="7" width="13.77734375" customWidth="1"/>
    <col min="10" max="10" width="15.44140625" customWidth="1"/>
    <col min="13" max="13" width="17.109375" customWidth="1"/>
  </cols>
  <sheetData>
    <row r="1" spans="1:13" ht="36.6" x14ac:dyDescent="0.7">
      <c r="A1" s="10"/>
      <c r="F1" s="12" t="s">
        <v>657</v>
      </c>
      <c r="G1" s="11"/>
      <c r="H1" s="11"/>
      <c r="I1" s="11"/>
      <c r="J1" s="11"/>
      <c r="K1" s="11"/>
      <c r="L1" s="11"/>
    </row>
    <row r="3" spans="1:13" x14ac:dyDescent="0.3">
      <c r="A3" s="13" t="s">
        <v>658</v>
      </c>
      <c r="D3" s="7" t="s">
        <v>659</v>
      </c>
      <c r="G3" s="7" t="s">
        <v>660</v>
      </c>
      <c r="J3" s="7" t="s">
        <v>661</v>
      </c>
      <c r="M3" s="7" t="s">
        <v>662</v>
      </c>
    </row>
    <row r="4" spans="1:13" x14ac:dyDescent="0.3">
      <c r="A4">
        <v>15225478.220000001</v>
      </c>
      <c r="D4">
        <v>3797047.84</v>
      </c>
      <c r="G4">
        <v>500</v>
      </c>
      <c r="J4">
        <v>1548</v>
      </c>
      <c r="M4" s="6">
        <v>30450.959999999999</v>
      </c>
    </row>
    <row r="6" spans="1:13" ht="28.8" x14ac:dyDescent="0.55000000000000004">
      <c r="D6" s="8"/>
      <c r="E6" s="8"/>
    </row>
  </sheetData>
  <mergeCells count="1">
    <mergeCell ref="F1:L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ecommerce_sales</vt:lpstr>
      <vt:lpstr>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Abinash A</cp:lastModifiedBy>
  <dcterms:created xsi:type="dcterms:W3CDTF">2026-10-01T05:24:24Z</dcterms:created>
  <dcterms:modified xsi:type="dcterms:W3CDTF">2026-10-02T05:00:42Z</dcterms:modified>
</cp:coreProperties>
</file>